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Downloads\3F-main\3F-main\"/>
    </mc:Choice>
  </mc:AlternateContent>
  <xr:revisionPtr revIDLastSave="0" documentId="8_{708BE403-9C98-4C83-A41E-A7829E452767}" xr6:coauthVersionLast="47" xr6:coauthVersionMax="47" xr10:uidLastSave="{00000000-0000-0000-0000-000000000000}"/>
  <bookViews>
    <workbookView xWindow="28680" yWindow="1665" windowWidth="29040" windowHeight="15720" tabRatio="944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47" i="1"/>
  <c r="A42" i="1"/>
  <c r="A37" i="1"/>
  <c r="A32" i="1"/>
  <c r="A27" i="1"/>
  <c r="A22" i="1"/>
  <c r="A17" i="1"/>
  <c r="A12" i="1"/>
  <c r="A1" i="12"/>
  <c r="A1" i="11"/>
  <c r="F10" i="1"/>
  <c r="D5" i="1"/>
  <c r="A25" i="1"/>
  <c r="G33" i="1"/>
  <c r="G49" i="1"/>
  <c r="G50" i="1"/>
  <c r="G51" i="1"/>
  <c r="G48" i="1"/>
  <c r="G45" i="1"/>
  <c r="G43" i="1"/>
  <c r="G44" i="1"/>
  <c r="G46" i="1"/>
  <c r="G41" i="1"/>
  <c r="G39" i="1"/>
  <c r="G40" i="1"/>
  <c r="G38" i="1"/>
  <c r="G35" i="1"/>
  <c r="G34" i="1"/>
  <c r="G36" i="1"/>
  <c r="G29" i="1"/>
  <c r="G30" i="1"/>
  <c r="G31" i="1"/>
  <c r="G28" i="1"/>
  <c r="G26" i="1"/>
  <c r="G24" i="1"/>
  <c r="G25" i="1"/>
  <c r="G23" i="1"/>
  <c r="G21" i="1"/>
  <c r="G19" i="1"/>
  <c r="G20" i="1"/>
  <c r="G18" i="1"/>
  <c r="G14" i="1"/>
  <c r="G15" i="1"/>
  <c r="G16" i="1"/>
  <c r="G13" i="1"/>
  <c r="G11" i="1"/>
  <c r="G9" i="1"/>
  <c r="G10" i="1"/>
  <c r="G8" i="1"/>
  <c r="G4" i="1"/>
  <c r="G5" i="1"/>
  <c r="G6" i="1"/>
  <c r="G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29" i="1"/>
  <c r="A24" i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inputs['Date'] = pd.to_datetime(inputs['Date'])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- 4):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  ;  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gears['totweight'] = gears['Number per …'] * gears['Flight weight (lbs)']
gears_sum = gears.groupby(['Attribution'])['totweight'].sum().reset_index()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(lbs)?'].fillna("")
ndfl = pd.DataFrame(inputs.groupby(['Date', 'Hub', 'Flight number', 'Pilot', 'Heli manager','Going to the plot?','Hazardous materials'])['Drop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ndo = ndfl[ndfl['Flight number'] == float(listfn[i].removeprefix("Flight "))]['ndf'].values[0]
	flt = [listfn[i] + ' with ' + str(ndo) + ' drop-off(s)']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if nm in clist['name'].tolist():
			print(nm)
			m = clist[clist['name'] == nm]['Flight weight (lbs)'].values[0]
		else:
			m = 0
		wlist.append(m)
	wgear = (len(lcf) * gears_sum[gears_sum['Attribution'] == 'per passenger']['totweight'].values) + (ndo * gears_sum[gears_sum['Attribution'] == 'per drop-off']['totweight'].values) + gears_sum[gears_sum['Attribution'] == 'per flight']['totweight'].values
	wgt = [""]
	for j in range(nr):
		if j == 1:
			wgt.insert(j, str(headerlist[2]))
		elif j == 2:
			for k in range(len(wlist)):
				wgt.insert(2+k, wlist[k])
		elif j == len(wlist)+2:
			wgt.insert(j,"")
		elif j == len(wlist)+3:
			wgt.insert(j,wgear[0])
		elif j in range(len(wlist)+4,(nr-3)):
			wgt.insert(j,"")
		elif j == (nr-3):
			wgt.insert(j, sum(wlist) + wgear[0])
		elif j == (nr-2):
			wgt.insert(j,"")
		elif j == (nr-1):
			wgt.insert(j,"")
	result = []
	for item in wgt:
		if isinstance(item, list):
			result = result + item
		else:
			result.append(item)
	listweight = listweight + result
np.column_stack((listflt, listdescr, listweight))
</code>
    </pythonScript>
  </pythonScripts>
</python>
</file>

<file path=xl/sharedStrings.xml><?xml version="1.0" encoding="utf-8"?>
<sst xmlns="http://schemas.openxmlformats.org/spreadsheetml/2006/main" count="135" uniqueCount="89">
  <si>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</si>
  <si>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</si>
  <si>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</si>
  <si>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</si>
  <si>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</si>
  <si>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</si>
  <si>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</si>
  <si>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</si>
  <si>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</si>
  <si>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</si>
  <si>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</si>
  <si>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</si>
  <si>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</si>
  <si>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</si>
  <si>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</si>
  <si>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</si>
  <si>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</si>
  <si>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</si>
  <si>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</si>
  <si>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landing zone latitude (decimal degree)</t>
  </si>
  <si>
    <t>landing zone longitude (decimal degree)</t>
  </si>
  <si>
    <t>slope</t>
  </si>
  <si>
    <t>aspect</t>
  </si>
  <si>
    <t>name</t>
  </si>
  <si>
    <t>PREV_INV_YEAR</t>
  </si>
  <si>
    <t>PlotCover</t>
  </si>
  <si>
    <t>PRIORITY</t>
  </si>
  <si>
    <t>NEAR_HUB</t>
  </si>
  <si>
    <t>yes</t>
  </si>
  <si>
    <t>no</t>
  </si>
  <si>
    <t>Drop off order</t>
  </si>
  <si>
    <t>Phone</t>
  </si>
  <si>
    <t>Phone color</t>
  </si>
  <si>
    <t>Phone number</t>
  </si>
  <si>
    <t>county</t>
  </si>
  <si>
    <t>elevation</t>
  </si>
  <si>
    <t>hub latitude (decimal degree)</t>
  </si>
  <si>
    <t>hub longitude (decimal degree)</t>
  </si>
  <si>
    <t>Combined list of crew leads and members [automated]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</si>
  <si>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</si>
  <si>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</si>
  <si>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</si>
  <si>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</si>
  <si>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</si>
  <si>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</si>
  <si>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</si>
  <si>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</si>
  <si>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</si>
  <si>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Soil bag</t>
  </si>
  <si>
    <t>Gun</t>
  </si>
  <si>
    <t>Bear spray / ammo can</t>
  </si>
  <si>
    <t>Sachel</t>
  </si>
  <si>
    <t>Personal back pack</t>
  </si>
  <si>
    <t>Personal flight bag</t>
  </si>
  <si>
    <t>Bivi  emergency bag</t>
  </si>
  <si>
    <t>c1</t>
  </si>
  <si>
    <t>o100</t>
  </si>
  <si>
    <t>HIGH</t>
  </si>
  <si>
    <t>GALENA</t>
  </si>
  <si>
    <t>Forest</t>
  </si>
  <si>
    <t>c2</t>
  </si>
  <si>
    <t>o101</t>
  </si>
  <si>
    <t>c3</t>
  </si>
  <si>
    <t>o102</t>
  </si>
  <si>
    <t>hub1</t>
  </si>
  <si>
    <t>hub2</t>
  </si>
  <si>
    <t>hub3</t>
  </si>
  <si>
    <t>p1</t>
  </si>
  <si>
    <t>p2</t>
  </si>
  <si>
    <t>p3</t>
  </si>
  <si>
    <t>cl1</t>
  </si>
  <si>
    <t>cl2</t>
  </si>
  <si>
    <t>cl3</t>
  </si>
  <si>
    <t>cm1</t>
  </si>
  <si>
    <t>cm2</t>
  </si>
  <si>
    <t>cm3</t>
  </si>
  <si>
    <t>red</t>
  </si>
  <si>
    <t>blue</t>
  </si>
  <si>
    <t>907-699-9999</t>
  </si>
  <si>
    <t>bear spray</t>
  </si>
  <si>
    <t>Number per …</t>
  </si>
  <si>
    <t>Attribution</t>
  </si>
  <si>
    <t>per flight</t>
  </si>
  <si>
    <t>per drop-off</t>
  </si>
  <si>
    <t>per passenger</t>
  </si>
  <si>
    <t>Attribution list</t>
  </si>
  <si>
    <t>notes</t>
  </si>
  <si>
    <t>Azimuth to plot (degree)</t>
  </si>
  <si>
    <t>Coordinates (dec. degree)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</si>
</sst>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8" xfId="0" applyBorder="1"/>
    <xf numFmtId="0" fontId="0" fillId="0" borderId="6" xfId="0" applyBorder="1"/>
    <xf numFmtId="0" fontId="0" fillId="0" borderId="29" xfId="0" applyBorder="1"/>
    <xf numFmtId="0" fontId="0" fillId="0" borderId="30" xfId="0" applyBorder="1"/>
    <xf numFmtId="0" fontId="3" fillId="0" borderId="4" xfId="0" applyFont="1" applyBorder="1"/>
    <xf numFmtId="0" fontId="3" fillId="0" borderId="27" xfId="0" applyFont="1" applyBorder="1"/>
    <xf numFmtId="0" fontId="3" fillId="0" borderId="0" xfId="0" applyFont="1"/>
    <xf numFmtId="0" fontId="3" fillId="0" borderId="26" xfId="0" applyFont="1" applyBorder="1"/>
    <xf numFmtId="0" fontId="5" fillId="0" borderId="31" xfId="0" applyFont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0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2" xfId="0" applyFill="1" applyBorder="1" applyAlignment="1" applyProtection="1">
      <alignment horizontal="center" vertical="center"/>
      <protection locked="0"/>
    </xf>
    <xf numFmtId="0" fontId="0" fillId="3" borderId="33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4" xfId="0" applyFill="1" applyBorder="1" applyAlignment="1" applyProtection="1">
      <alignment horizontal="center" vertical="center"/>
      <protection locked="0"/>
    </xf>
    <xf numFmtId="0" fontId="0" fillId="3" borderId="35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3" borderId="33" xfId="0" applyFill="1" applyBorder="1" applyAlignment="1" applyProtection="1">
      <alignment horizontal="center" vertical="center"/>
      <protection locked="0"/>
    </xf>
    <xf numFmtId="0" fontId="0" fillId="3" borderId="27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7" xfId="0" applyFont="1" applyBorder="1"/>
    <xf numFmtId="0" fontId="13" fillId="0" borderId="0" xfId="0" applyFont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28" xfId="0" applyFont="1" applyFill="1" applyBorder="1" applyAlignment="1" applyProtection="1">
      <alignment horizontal="center" vertical="center"/>
      <protection locked="0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0" fillId="2" borderId="25" xfId="0" applyNumberFormat="1" applyFill="1" applyBorder="1" applyAlignment="1">
      <alignment horizontal="center" vertical="center"/>
    </xf>
    <xf numFmtId="14" fontId="0" fillId="3" borderId="25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23/09/relationships/Python" Target="pyth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abSelected="1" topLeftCell="H1" workbookViewId="0">
      <selection activeCell="P8" sqref="P8"/>
    </sheetView>
  </sheetViews>
  <sheetFormatPr defaultRowHeight="14.4" x14ac:dyDescent="0.3"/>
  <cols>
    <col min="1" max="1" width="8.33203125" style="30" bestFit="1" customWidth="1"/>
    <col min="2" max="2" width="9.77734375" style="30" customWidth="1"/>
    <col min="3" max="3" width="13.21875" style="30" bestFit="1" customWidth="1"/>
    <col min="4" max="4" width="10.88671875" style="30" customWidth="1"/>
    <col min="5" max="5" width="16.77734375" style="30" customWidth="1"/>
    <col min="6" max="6" width="16.77734375" style="30" bestFit="1" customWidth="1"/>
    <col min="7" max="7" width="19" style="30" bestFit="1" customWidth="1"/>
    <col min="8" max="8" width="8.21875" style="30" bestFit="1" customWidth="1"/>
    <col min="9" max="9" width="8.21875" style="30" customWidth="1"/>
    <col min="10" max="10" width="6.5546875" style="30" bestFit="1" customWidth="1"/>
    <col min="11" max="11" width="17.33203125" style="30" bestFit="1" customWidth="1"/>
    <col min="12" max="12" width="11.5546875" style="30" bestFit="1" customWidth="1"/>
    <col min="13" max="16" width="14.88671875" style="30" bestFit="1" customWidth="1"/>
    <col min="17" max="17" width="6.21875" style="30" bestFit="1" customWidth="1"/>
    <col min="18" max="16384" width="8.88671875" style="30"/>
  </cols>
  <sheetData>
    <row r="1" spans="1:17" s="57" customFormat="1" ht="15" thickBot="1" x14ac:dyDescent="0.35">
      <c r="A1" s="96" t="s">
        <v>15</v>
      </c>
      <c r="B1" s="97" t="s">
        <v>3</v>
      </c>
      <c r="C1" s="97" t="s">
        <v>0</v>
      </c>
      <c r="D1" s="97" t="s">
        <v>4</v>
      </c>
      <c r="E1" s="97" t="s">
        <v>1</v>
      </c>
      <c r="F1" s="98" t="s">
        <v>2</v>
      </c>
      <c r="G1" s="99" t="s">
        <v>45</v>
      </c>
      <c r="H1" s="100" t="s">
        <v>5</v>
      </c>
      <c r="I1" s="97" t="s">
        <v>12</v>
      </c>
      <c r="J1" s="97" t="s">
        <v>31</v>
      </c>
      <c r="K1" s="97" t="s">
        <v>46</v>
      </c>
      <c r="L1" s="97" t="s">
        <v>6</v>
      </c>
      <c r="M1" s="97" t="s">
        <v>7</v>
      </c>
      <c r="N1" s="97" t="s">
        <v>8</v>
      </c>
      <c r="O1" s="97" t="s">
        <v>9</v>
      </c>
      <c r="P1" s="97" t="s">
        <v>10</v>
      </c>
      <c r="Q1" s="101" t="s">
        <v>11</v>
      </c>
    </row>
    <row r="2" spans="1:17" s="73" customFormat="1" x14ac:dyDescent="0.3">
      <c r="A2" s="105">
        <v>46207</v>
      </c>
      <c r="B2" s="106" t="s">
        <v>66</v>
      </c>
      <c r="C2" s="102">
        <v>1</v>
      </c>
      <c r="D2" s="106" t="s">
        <v>67</v>
      </c>
      <c r="E2" s="106" t="s">
        <v>71</v>
      </c>
      <c r="F2" s="107" t="s">
        <v>28</v>
      </c>
      <c r="G2" s="106" t="s">
        <v>79</v>
      </c>
      <c r="H2" s="32">
        <v>1</v>
      </c>
      <c r="I2" s="31" t="s">
        <v>68</v>
      </c>
      <c r="J2" s="31" t="s">
        <v>76</v>
      </c>
      <c r="K2" s="31">
        <v>50</v>
      </c>
      <c r="L2" s="31" t="s">
        <v>71</v>
      </c>
      <c r="M2" s="31" t="s">
        <v>73</v>
      </c>
      <c r="N2" s="31" t="s">
        <v>74</v>
      </c>
      <c r="O2" s="31"/>
      <c r="P2" s="31"/>
      <c r="Q2" s="33"/>
    </row>
    <row r="3" spans="1:17" s="73" customFormat="1" x14ac:dyDescent="0.3">
      <c r="A3" s="74">
        <f>IF(ISBLANK(I3),"",A$2)</f>
        <v>46207</v>
      </c>
      <c r="B3" s="75" t="str">
        <f>IF(ISBLANK(I3),"",B$2)</f>
        <v>hub3</v>
      </c>
      <c r="C3" s="75">
        <f>IF(ISBLANK(I3),"",C$2)</f>
        <v>1</v>
      </c>
      <c r="D3" s="75" t="str">
        <f>IF(ISBLANK(I3),"",D$2)</f>
        <v>p1</v>
      </c>
      <c r="E3" s="75" t="str">
        <f>IF(ISBLANK(I3),"",E$2)</f>
        <v>cl2</v>
      </c>
      <c r="F3" s="75" t="str">
        <f>IF(ISBLANK(I3),"",F$2)</f>
        <v>yes</v>
      </c>
      <c r="G3" s="76" t="str">
        <f>IF(ISBLANK(I3),"",IF(ISBLANK(G$2),"",G$2))</f>
        <v>bear spray</v>
      </c>
      <c r="H3" s="83">
        <v>2</v>
      </c>
      <c r="I3" s="35" t="s">
        <v>67</v>
      </c>
      <c r="J3" s="35" t="s">
        <v>77</v>
      </c>
      <c r="K3" s="35">
        <v>10</v>
      </c>
      <c r="L3" s="35" t="s">
        <v>72</v>
      </c>
      <c r="M3" s="35" t="s">
        <v>73</v>
      </c>
      <c r="N3" s="35"/>
      <c r="O3" s="35"/>
      <c r="P3" s="35"/>
      <c r="Q3" s="36"/>
    </row>
    <row r="4" spans="1:17" s="73" customFormat="1" x14ac:dyDescent="0.3">
      <c r="A4" s="74" t="str">
        <f>IF(ISBLANK(I4),"",A$2)</f>
        <v/>
      </c>
      <c r="B4" s="75" t="str">
        <f>IF(ISBLANK(I4),"",B$2)</f>
        <v/>
      </c>
      <c r="C4" s="75" t="str">
        <f>IF(ISBLANK(I4),"",C$2)</f>
        <v/>
      </c>
      <c r="D4" s="75" t="str">
        <f>IF(ISBLANK(I4),"",D$2)</f>
        <v/>
      </c>
      <c r="E4" s="75" t="str">
        <f>IF(ISBLANK(I4),"",E$2)</f>
        <v/>
      </c>
      <c r="F4" s="75" t="str">
        <f>IF(ISBLANK(I4),"",F$2)</f>
        <v/>
      </c>
      <c r="G4" s="77" t="str">
        <f t="shared" ref="G4:G6" si="0">IF(ISBLANK(I4),"",IF(ISBLANK(G$2),"",G$2))</f>
        <v/>
      </c>
      <c r="H4" s="83">
        <v>3</v>
      </c>
      <c r="I4" s="35"/>
      <c r="J4" s="35"/>
      <c r="K4" s="35"/>
      <c r="L4" s="35"/>
      <c r="M4" s="35"/>
      <c r="N4" s="35"/>
      <c r="O4" s="35"/>
      <c r="P4" s="35"/>
      <c r="Q4" s="36"/>
    </row>
    <row r="5" spans="1:17" s="73" customFormat="1" x14ac:dyDescent="0.3">
      <c r="A5" s="74" t="str">
        <f>IF(ISBLANK(I5),"",A$2)</f>
        <v/>
      </c>
      <c r="B5" s="75" t="str">
        <f>IF(ISBLANK(I5),"",B$2)</f>
        <v/>
      </c>
      <c r="C5" s="75" t="str">
        <f>IF(ISBLANK(I5),"",C$2)</f>
        <v/>
      </c>
      <c r="D5" s="75" t="str">
        <f>IF(ISBLANK(I5),"",D$2)</f>
        <v/>
      </c>
      <c r="E5" s="75" t="str">
        <f>IF(ISBLANK(I5),"",E$2)</f>
        <v/>
      </c>
      <c r="F5" s="75" t="str">
        <f>IF(ISBLANK(I5),"",F$2)</f>
        <v/>
      </c>
      <c r="G5" s="77" t="str">
        <f t="shared" si="0"/>
        <v/>
      </c>
      <c r="H5" s="83">
        <v>4</v>
      </c>
      <c r="I5" s="35"/>
      <c r="J5" s="35"/>
      <c r="K5" s="35"/>
      <c r="L5" s="35"/>
      <c r="M5" s="35"/>
      <c r="N5" s="35"/>
      <c r="O5" s="35"/>
      <c r="P5" s="35"/>
      <c r="Q5" s="36"/>
    </row>
    <row r="6" spans="1:17" s="73" customFormat="1" ht="15" thickBot="1" x14ac:dyDescent="0.35">
      <c r="A6" s="78" t="str">
        <f>IF(ISBLANK(I6),"",A$2)</f>
        <v/>
      </c>
      <c r="B6" s="79" t="str">
        <f>IF(ISBLANK(I6),"",B$2)</f>
        <v/>
      </c>
      <c r="C6" s="79" t="str">
        <f>IF(ISBLANK(I6),"",C$2)</f>
        <v/>
      </c>
      <c r="D6" s="79" t="str">
        <f>IF(ISBLANK(I6),"",D$2)</f>
        <v/>
      </c>
      <c r="E6" s="79" t="str">
        <f>IF(ISBLANK(I6),"",E$2)</f>
        <v/>
      </c>
      <c r="F6" s="79" t="str">
        <f>IF(ISBLANK(I6),"",F$2)</f>
        <v/>
      </c>
      <c r="G6" s="80" t="str">
        <f t="shared" si="0"/>
        <v/>
      </c>
      <c r="H6" s="84">
        <v>5</v>
      </c>
      <c r="I6" s="38"/>
      <c r="J6" s="38"/>
      <c r="K6" s="38"/>
      <c r="L6" s="38"/>
      <c r="M6" s="38"/>
      <c r="N6" s="38"/>
      <c r="O6" s="38"/>
      <c r="P6" s="38"/>
      <c r="Q6" s="39"/>
    </row>
    <row r="7" spans="1:17" s="73" customFormat="1" x14ac:dyDescent="0.3">
      <c r="A7" s="117">
        <f>IF(ISBLANK(I7),"",A$2)</f>
        <v>46207</v>
      </c>
      <c r="B7" s="108" t="s">
        <v>66</v>
      </c>
      <c r="C7" s="103">
        <v>2</v>
      </c>
      <c r="D7" s="108" t="s">
        <v>69</v>
      </c>
      <c r="E7" s="108" t="s">
        <v>71</v>
      </c>
      <c r="F7" s="109" t="s">
        <v>29</v>
      </c>
      <c r="G7" s="110"/>
      <c r="H7" s="40">
        <v>1</v>
      </c>
      <c r="I7" s="41" t="s">
        <v>69</v>
      </c>
      <c r="J7" s="41" t="s">
        <v>76</v>
      </c>
      <c r="K7" s="41"/>
      <c r="L7" s="41" t="s">
        <v>72</v>
      </c>
      <c r="M7" s="41" t="s">
        <v>73</v>
      </c>
      <c r="N7" s="41"/>
      <c r="O7" s="41"/>
      <c r="P7" s="41"/>
      <c r="Q7" s="42" t="s">
        <v>86</v>
      </c>
    </row>
    <row r="8" spans="1:17" s="73" customFormat="1" x14ac:dyDescent="0.3">
      <c r="A8" s="87" t="str">
        <f>IF(ISBLANK(I8),"",A$7)</f>
        <v/>
      </c>
      <c r="B8" s="85" t="str">
        <f>IF(ISBLANK(I8),"",B$7)</f>
        <v/>
      </c>
      <c r="C8" s="85" t="str">
        <f>IF(ISBLANK(I8),"",C$7)</f>
        <v/>
      </c>
      <c r="D8" s="85" t="str">
        <f>IF(ISBLANK(I8),"",D$7)</f>
        <v/>
      </c>
      <c r="E8" s="85" t="str">
        <f>IF(ISBLANK(I8),"",E$7)</f>
        <v/>
      </c>
      <c r="F8" s="85" t="str">
        <f>IF(ISBLANK(I8),"",F$7)</f>
        <v/>
      </c>
      <c r="G8" s="86" t="str">
        <f>IF(ISBLANK(I8),"",IF(ISBLANK(G$7),"",G$7))</f>
        <v/>
      </c>
      <c r="H8" s="81">
        <v>2</v>
      </c>
      <c r="I8" s="44"/>
      <c r="J8" s="44"/>
      <c r="K8" s="44"/>
      <c r="L8" s="44"/>
      <c r="M8" s="44"/>
      <c r="N8" s="44"/>
      <c r="O8" s="44"/>
      <c r="P8" s="44"/>
      <c r="Q8" s="45"/>
    </row>
    <row r="9" spans="1:17" s="73" customFormat="1" x14ac:dyDescent="0.3">
      <c r="A9" s="87" t="str">
        <f>IF(ISBLANK(I9),"",A$7)</f>
        <v/>
      </c>
      <c r="B9" s="88" t="str">
        <f>IF(ISBLANK(I9),"",B$7)</f>
        <v/>
      </c>
      <c r="C9" s="88" t="str">
        <f>IF(ISBLANK(I9),"",C$7)</f>
        <v/>
      </c>
      <c r="D9" s="88" t="str">
        <f>IF(ISBLANK(I9),"",D$7)</f>
        <v/>
      </c>
      <c r="E9" s="88" t="str">
        <f>IF(ISBLANK(I9),"",E$7)</f>
        <v/>
      </c>
      <c r="F9" s="88" t="str">
        <f>IF(ISBLANK(I9),"",F$7)</f>
        <v/>
      </c>
      <c r="G9" s="86" t="str">
        <f t="shared" ref="G9:G10" si="1">IF(ISBLANK(I9),"",IF(ISBLANK(G$7),"",G$7))</f>
        <v/>
      </c>
      <c r="H9" s="81">
        <v>3</v>
      </c>
      <c r="I9" s="44"/>
      <c r="J9" s="44"/>
      <c r="K9" s="44"/>
      <c r="L9" s="44"/>
      <c r="M9" s="44"/>
      <c r="N9" s="44"/>
      <c r="O9" s="44"/>
      <c r="P9" s="44"/>
      <c r="Q9" s="45"/>
    </row>
    <row r="10" spans="1:17" s="73" customFormat="1" x14ac:dyDescent="0.3">
      <c r="A10" s="87" t="str">
        <f>IF(ISBLANK(I10),"",A$7)</f>
        <v/>
      </c>
      <c r="B10" s="88" t="str">
        <f>IF(ISBLANK(I10),"",B$7)</f>
        <v/>
      </c>
      <c r="C10" s="88" t="str">
        <f>IF(ISBLANK(I10),"",C$7)</f>
        <v/>
      </c>
      <c r="D10" s="88" t="str">
        <f>IF(ISBLANK(I10),"",D$7)</f>
        <v/>
      </c>
      <c r="E10" s="88" t="str">
        <f>IF(ISBLANK(I10),"",E$7)</f>
        <v/>
      </c>
      <c r="F10" s="88" t="str">
        <f>IF(ISBLANK(I10),"",F$7)</f>
        <v/>
      </c>
      <c r="G10" s="86" t="str">
        <f t="shared" si="1"/>
        <v/>
      </c>
      <c r="H10" s="81">
        <v>4</v>
      </c>
      <c r="I10" s="44"/>
      <c r="J10" s="44"/>
      <c r="K10" s="44"/>
      <c r="L10" s="44"/>
      <c r="M10" s="44"/>
      <c r="N10" s="44"/>
      <c r="O10" s="44"/>
      <c r="P10" s="44"/>
      <c r="Q10" s="45"/>
    </row>
    <row r="11" spans="1:17" s="73" customFormat="1" ht="15" thickBot="1" x14ac:dyDescent="0.35">
      <c r="A11" s="91" t="str">
        <f>IF(ISBLANK(I11),"",A$7)</f>
        <v/>
      </c>
      <c r="B11" s="88" t="str">
        <f>IF(ISBLANK(I11),"",B$7)</f>
        <v/>
      </c>
      <c r="C11" s="88" t="str">
        <f>IF(ISBLANK(I11),"",C$7)</f>
        <v/>
      </c>
      <c r="D11" s="88" t="str">
        <f>IF(ISBLANK(I11),"",D$7)</f>
        <v/>
      </c>
      <c r="E11" s="88" t="str">
        <f>IF(ISBLANK(I11),"",E$7)</f>
        <v/>
      </c>
      <c r="F11" s="88" t="str">
        <f>IF(ISBLANK(I11),"",F$7)</f>
        <v/>
      </c>
      <c r="G11" s="90" t="str">
        <f>IF(ISBLANK(I11),"",IF(ISBLANK(G$7),"",G$7))</f>
        <v/>
      </c>
      <c r="H11" s="82">
        <v>5</v>
      </c>
      <c r="I11" s="47"/>
      <c r="J11" s="47"/>
      <c r="K11" s="47"/>
      <c r="L11" s="47"/>
      <c r="M11" s="47"/>
      <c r="N11" s="47"/>
      <c r="O11" s="47"/>
      <c r="P11" s="47"/>
      <c r="Q11" s="48"/>
    </row>
    <row r="12" spans="1:17" s="73" customFormat="1" x14ac:dyDescent="0.3">
      <c r="A12" s="116" t="str">
        <f>IF(ISBLANK(I12),"",A$2)</f>
        <v/>
      </c>
      <c r="B12" s="106"/>
      <c r="C12" s="102">
        <v>3</v>
      </c>
      <c r="D12" s="106"/>
      <c r="E12" s="106"/>
      <c r="F12" s="107"/>
      <c r="G12" s="106"/>
      <c r="H12" s="32">
        <v>1</v>
      </c>
      <c r="I12" s="31"/>
      <c r="J12" s="31"/>
      <c r="K12" s="31"/>
      <c r="L12" s="31"/>
      <c r="M12" s="31"/>
      <c r="N12" s="31"/>
      <c r="O12" s="31"/>
      <c r="P12" s="31"/>
      <c r="Q12" s="33"/>
    </row>
    <row r="13" spans="1:17" x14ac:dyDescent="0.3">
      <c r="A13" s="74" t="str">
        <f>IF(ISBLANK(I13),"",A$12)</f>
        <v/>
      </c>
      <c r="B13" s="75" t="str">
        <f>IF(ISBLANK(I13),"",B$12)</f>
        <v/>
      </c>
      <c r="C13" s="75" t="str">
        <f>IF(ISBLANK(I13),"",C$12)</f>
        <v/>
      </c>
      <c r="D13" s="75" t="str">
        <f>IF(ISBLANK(I13),"",D$12)</f>
        <v/>
      </c>
      <c r="E13" s="75" t="str">
        <f>IF(ISBLANK(I13),"",E$12)</f>
        <v/>
      </c>
      <c r="F13" s="75" t="str">
        <f>IF(ISBLANK(I13),"",F$12)</f>
        <v/>
      </c>
      <c r="G13" s="76" t="str">
        <f>IF(ISBLANK(I13),"",IF(ISBLANK(G$12),"",G$12))</f>
        <v/>
      </c>
      <c r="H13" s="34">
        <v>2</v>
      </c>
      <c r="I13" s="35"/>
      <c r="J13" s="35"/>
      <c r="K13" s="35"/>
      <c r="L13" s="35"/>
      <c r="M13" s="35"/>
      <c r="N13" s="35"/>
      <c r="O13" s="35"/>
      <c r="P13" s="35"/>
      <c r="Q13" s="36"/>
    </row>
    <row r="14" spans="1:17" x14ac:dyDescent="0.3">
      <c r="A14" s="74" t="str">
        <f>IF(ISBLANK(I14),"",A$12)</f>
        <v/>
      </c>
      <c r="B14" s="75" t="str">
        <f>IF(ISBLANK(I14),"",B$12)</f>
        <v/>
      </c>
      <c r="C14" s="75" t="str">
        <f>IF(ISBLANK(I14),"",C$12)</f>
        <v/>
      </c>
      <c r="D14" s="75" t="str">
        <f>IF(ISBLANK(I14),"",D$12)</f>
        <v/>
      </c>
      <c r="E14" s="75" t="str">
        <f>IF(ISBLANK(I14),"",E$12)</f>
        <v/>
      </c>
      <c r="F14" s="75" t="str">
        <f>IF(ISBLANK(I14),"",F$12)</f>
        <v/>
      </c>
      <c r="G14" s="77" t="str">
        <f t="shared" ref="G14:G16" si="2">IF(ISBLANK(I14),"",IF(ISBLANK(G$12),"",G$12))</f>
        <v/>
      </c>
      <c r="H14" s="34">
        <v>3</v>
      </c>
      <c r="I14" s="35"/>
      <c r="J14" s="35"/>
      <c r="K14" s="35"/>
      <c r="L14" s="35"/>
      <c r="M14" s="35"/>
      <c r="N14" s="35"/>
      <c r="O14" s="35"/>
      <c r="P14" s="35"/>
      <c r="Q14" s="36"/>
    </row>
    <row r="15" spans="1:17" x14ac:dyDescent="0.3">
      <c r="A15" s="74" t="str">
        <f>IF(ISBLANK(I15),"",A$12)</f>
        <v/>
      </c>
      <c r="B15" s="75" t="str">
        <f>IF(ISBLANK(I15),"",B$12)</f>
        <v/>
      </c>
      <c r="C15" s="75" t="str">
        <f>IF(ISBLANK(I15),"",C$12)</f>
        <v/>
      </c>
      <c r="D15" s="75" t="str">
        <f>IF(ISBLANK(I15),"",D$12)</f>
        <v/>
      </c>
      <c r="E15" s="75" t="str">
        <f>IF(ISBLANK(I15),"",E$12)</f>
        <v/>
      </c>
      <c r="F15" s="75" t="str">
        <f>IF(ISBLANK(I15),"",F$12)</f>
        <v/>
      </c>
      <c r="G15" s="77" t="str">
        <f t="shared" si="2"/>
        <v/>
      </c>
      <c r="H15" s="34">
        <v>4</v>
      </c>
      <c r="I15" s="35"/>
      <c r="J15" s="35"/>
      <c r="K15" s="35"/>
      <c r="L15" s="35"/>
      <c r="M15" s="35"/>
      <c r="N15" s="35"/>
      <c r="O15" s="35"/>
      <c r="P15" s="35"/>
      <c r="Q15" s="36"/>
    </row>
    <row r="16" spans="1:17" ht="15" thickBot="1" x14ac:dyDescent="0.35">
      <c r="A16" s="78" t="str">
        <f>IF(ISBLANK(I16),"",A$12)</f>
        <v/>
      </c>
      <c r="B16" s="79" t="str">
        <f>IF(ISBLANK(I16),"",B$12)</f>
        <v/>
      </c>
      <c r="C16" s="79" t="str">
        <f>IF(ISBLANK(I16),"",C$12)</f>
        <v/>
      </c>
      <c r="D16" s="79" t="str">
        <f>IF(ISBLANK(I16),"",D$12)</f>
        <v/>
      </c>
      <c r="E16" s="79" t="str">
        <f>IF(ISBLANK(I16),"",E$12)</f>
        <v/>
      </c>
      <c r="F16" s="79" t="str">
        <f>IF(ISBLANK(I16),"",F$12)</f>
        <v/>
      </c>
      <c r="G16" s="80" t="str">
        <f t="shared" si="2"/>
        <v/>
      </c>
      <c r="H16" s="37">
        <v>5</v>
      </c>
      <c r="I16" s="38"/>
      <c r="J16" s="38"/>
      <c r="K16" s="38"/>
      <c r="L16" s="38"/>
      <c r="M16" s="38"/>
      <c r="N16" s="38"/>
      <c r="O16" s="38"/>
      <c r="P16" s="38"/>
      <c r="Q16" s="39"/>
    </row>
    <row r="17" spans="1:17" s="73" customFormat="1" x14ac:dyDescent="0.3">
      <c r="A17" s="117" t="str">
        <f>IF(ISBLANK(I17),"",A$2)</f>
        <v/>
      </c>
      <c r="B17" s="111"/>
      <c r="C17" s="104">
        <v>4</v>
      </c>
      <c r="D17" s="111"/>
      <c r="E17" s="111"/>
      <c r="F17" s="112"/>
      <c r="G17" s="110"/>
      <c r="H17" s="40">
        <v>1</v>
      </c>
      <c r="I17" s="41"/>
      <c r="J17" s="41"/>
      <c r="K17" s="41"/>
      <c r="L17" s="41"/>
      <c r="M17" s="41"/>
      <c r="N17" s="41"/>
      <c r="O17" s="41"/>
      <c r="P17" s="41"/>
      <c r="Q17" s="42"/>
    </row>
    <row r="18" spans="1:17" x14ac:dyDescent="0.3">
      <c r="A18" s="87" t="str">
        <f>IF(ISBLANK(I18),"",A$17)</f>
        <v/>
      </c>
      <c r="B18" s="88" t="str">
        <f>IF(ISBLANK(I18),"",B$17)</f>
        <v/>
      </c>
      <c r="C18" s="88" t="str">
        <f>IF(ISBLANK(I18),"",C$17)</f>
        <v/>
      </c>
      <c r="D18" s="88" t="str">
        <f>IF(ISBLANK(I18),"",D$17)</f>
        <v/>
      </c>
      <c r="E18" s="88" t="str">
        <f>IF(ISBLANK(I18),"",E$17)</f>
        <v/>
      </c>
      <c r="F18" s="88" t="str">
        <f>IF(ISBLANK(I18),"",F$17)</f>
        <v/>
      </c>
      <c r="G18" s="86" t="str">
        <f>IF(ISBLANK(I18),"",IF(ISBLANK(G$17),"",G$17))</f>
        <v/>
      </c>
      <c r="H18" s="43">
        <v>2</v>
      </c>
      <c r="I18" s="44"/>
      <c r="J18" s="44"/>
      <c r="K18" s="44"/>
      <c r="L18" s="44"/>
      <c r="M18" s="44"/>
      <c r="N18" s="44"/>
      <c r="O18" s="44"/>
      <c r="P18" s="44"/>
      <c r="Q18" s="45"/>
    </row>
    <row r="19" spans="1:17" x14ac:dyDescent="0.3">
      <c r="A19" s="87" t="str">
        <f>IF(ISBLANK(I19),"",A$17)</f>
        <v/>
      </c>
      <c r="B19" s="88" t="str">
        <f>IF(ISBLANK(I19),"",B$17)</f>
        <v/>
      </c>
      <c r="C19" s="88" t="str">
        <f>IF(ISBLANK(I19),"",C$17)</f>
        <v/>
      </c>
      <c r="D19" s="88" t="str">
        <f>IF(ISBLANK(I19),"",D$17)</f>
        <v/>
      </c>
      <c r="E19" s="88" t="str">
        <f>IF(ISBLANK(I19),"",E$17)</f>
        <v/>
      </c>
      <c r="F19" s="88" t="str">
        <f>IF(ISBLANK(I19),"",F$17)</f>
        <v/>
      </c>
      <c r="G19" s="86" t="str">
        <f t="shared" ref="G19:G20" si="3">IF(ISBLANK(I19),"",IF(ISBLANK(G$17),"",G$17))</f>
        <v/>
      </c>
      <c r="H19" s="43">
        <v>3</v>
      </c>
      <c r="I19" s="44"/>
      <c r="J19" s="44"/>
      <c r="K19" s="44"/>
      <c r="L19" s="44"/>
      <c r="M19" s="44"/>
      <c r="N19" s="44"/>
      <c r="O19" s="44"/>
      <c r="P19" s="44"/>
      <c r="Q19" s="45"/>
    </row>
    <row r="20" spans="1:17" x14ac:dyDescent="0.3">
      <c r="A20" s="87" t="str">
        <f>IF(ISBLANK(I20),"",A$17)</f>
        <v/>
      </c>
      <c r="B20" s="88" t="str">
        <f>IF(ISBLANK(I20),"",B$17)</f>
        <v/>
      </c>
      <c r="C20" s="88" t="str">
        <f>IF(ISBLANK(I20),"",C$17)</f>
        <v/>
      </c>
      <c r="D20" s="88" t="str">
        <f>IF(ISBLANK(I20),"",D$17)</f>
        <v/>
      </c>
      <c r="E20" s="88" t="str">
        <f>IF(ISBLANK(I20),"",E$17)</f>
        <v/>
      </c>
      <c r="F20" s="88" t="str">
        <f>IF(ISBLANK(I20),"",F$17)</f>
        <v/>
      </c>
      <c r="G20" s="86" t="str">
        <f t="shared" si="3"/>
        <v/>
      </c>
      <c r="H20" s="43">
        <v>4</v>
      </c>
      <c r="I20" s="44"/>
      <c r="J20" s="44"/>
      <c r="K20" s="44"/>
      <c r="L20" s="44"/>
      <c r="M20" s="44"/>
      <c r="N20" s="44"/>
      <c r="O20" s="44"/>
      <c r="P20" s="44"/>
      <c r="Q20" s="45"/>
    </row>
    <row r="21" spans="1:17" ht="15" thickBot="1" x14ac:dyDescent="0.35">
      <c r="A21" s="91" t="str">
        <f>IF(ISBLANK(I21),"",A$17)</f>
        <v/>
      </c>
      <c r="B21" s="88" t="str">
        <f>IF(ISBLANK(I21),"",B$17)</f>
        <v/>
      </c>
      <c r="C21" s="88" t="str">
        <f>IF(ISBLANK(I21),"",C$17)</f>
        <v/>
      </c>
      <c r="D21" s="88" t="str">
        <f>IF(ISBLANK(I21),"",D$17)</f>
        <v/>
      </c>
      <c r="E21" s="88" t="str">
        <f>IF(ISBLANK(I21),"",E$17)</f>
        <v/>
      </c>
      <c r="F21" s="88" t="str">
        <f>IF(ISBLANK(I21),"",F$17)</f>
        <v/>
      </c>
      <c r="G21" s="90" t="str">
        <f>IF(ISBLANK(I21),"",IF(ISBLANK(G$17),"",G$17))</f>
        <v/>
      </c>
      <c r="H21" s="46">
        <v>5</v>
      </c>
      <c r="I21" s="47"/>
      <c r="J21" s="47"/>
      <c r="K21" s="47"/>
      <c r="L21" s="47"/>
      <c r="M21" s="47"/>
      <c r="N21" s="47"/>
      <c r="O21" s="47"/>
      <c r="P21" s="47"/>
      <c r="Q21" s="48"/>
    </row>
    <row r="22" spans="1:17" s="73" customFormat="1" x14ac:dyDescent="0.3">
      <c r="A22" s="116" t="str">
        <f>IF(ISBLANK(I22),"",A$2)</f>
        <v/>
      </c>
      <c r="B22" s="106"/>
      <c r="C22" s="102">
        <v>5</v>
      </c>
      <c r="D22" s="106"/>
      <c r="E22" s="106"/>
      <c r="F22" s="107"/>
      <c r="G22" s="106"/>
      <c r="H22" s="32">
        <v>1</v>
      </c>
      <c r="I22" s="31"/>
      <c r="J22" s="31"/>
      <c r="K22" s="31"/>
      <c r="L22" s="31"/>
      <c r="M22" s="31"/>
      <c r="N22" s="31"/>
      <c r="O22" s="31"/>
      <c r="P22" s="31"/>
      <c r="Q22" s="33"/>
    </row>
    <row r="23" spans="1:17" x14ac:dyDescent="0.3">
      <c r="A23" s="74" t="str">
        <f>IF(ISBLANK(I23),"",A$22)</f>
        <v/>
      </c>
      <c r="B23" s="75" t="str">
        <f>IF(ISBLANK(I23),"",B$22)</f>
        <v/>
      </c>
      <c r="C23" s="75" t="str">
        <f>IF(ISBLANK(I23),"",C$22)</f>
        <v/>
      </c>
      <c r="D23" s="75" t="str">
        <f>IF(ISBLANK(I23),"",D$22)</f>
        <v/>
      </c>
      <c r="E23" s="75" t="str">
        <f>IF(ISBLANK(I23),"",E$22)</f>
        <v/>
      </c>
      <c r="F23" s="75" t="str">
        <f>IF(ISBLANK(I23),"",F$22)</f>
        <v/>
      </c>
      <c r="G23" s="76" t="str">
        <f>IF(ISBLANK(I23),"",IF(ISBLANK(G$22),"",G$22))</f>
        <v/>
      </c>
      <c r="H23" s="34">
        <v>2</v>
      </c>
      <c r="I23" s="35"/>
      <c r="J23" s="35"/>
      <c r="K23" s="35"/>
      <c r="L23" s="35"/>
      <c r="M23" s="35"/>
      <c r="N23" s="35"/>
      <c r="O23" s="35"/>
      <c r="P23" s="35"/>
      <c r="Q23" s="36"/>
    </row>
    <row r="24" spans="1:17" x14ac:dyDescent="0.3">
      <c r="A24" s="74" t="str">
        <f>IF(ISBLANK(I24),"",A$22)</f>
        <v/>
      </c>
      <c r="B24" s="75" t="str">
        <f>IF(ISBLANK(I24),"",B$22)</f>
        <v/>
      </c>
      <c r="C24" s="75" t="str">
        <f>IF(ISBLANK(I24),"",C$22)</f>
        <v/>
      </c>
      <c r="D24" s="75" t="str">
        <f>IF(ISBLANK(I24),"",D$22)</f>
        <v/>
      </c>
      <c r="E24" s="75" t="str">
        <f>IF(ISBLANK(I24),"",E$22)</f>
        <v/>
      </c>
      <c r="F24" s="75" t="str">
        <f>IF(ISBLANK(I24),"",F$22)</f>
        <v/>
      </c>
      <c r="G24" s="77" t="str">
        <f t="shared" ref="G24:G25" si="4">IF(ISBLANK(I24),"",IF(ISBLANK(G$22),"",G$22))</f>
        <v/>
      </c>
      <c r="H24" s="34">
        <v>3</v>
      </c>
      <c r="I24" s="35"/>
      <c r="J24" s="35"/>
      <c r="K24" s="35"/>
      <c r="L24" s="35"/>
      <c r="M24" s="35"/>
      <c r="N24" s="35"/>
      <c r="O24" s="35"/>
      <c r="P24" s="35"/>
      <c r="Q24" s="36"/>
    </row>
    <row r="25" spans="1:17" x14ac:dyDescent="0.3">
      <c r="A25" s="74" t="str">
        <f>IF(ISBLANK(I25),"",A$22)</f>
        <v/>
      </c>
      <c r="B25" s="75" t="str">
        <f>IF(ISBLANK(I25),"",B$22)</f>
        <v/>
      </c>
      <c r="C25" s="75" t="str">
        <f>IF(ISBLANK(I25),"",C$22)</f>
        <v/>
      </c>
      <c r="D25" s="75" t="str">
        <f>IF(ISBLANK(I25),"",D$22)</f>
        <v/>
      </c>
      <c r="E25" s="75" t="str">
        <f>IF(ISBLANK(I25),"",E$22)</f>
        <v/>
      </c>
      <c r="F25" s="75" t="str">
        <f>IF(ISBLANK(I25),"",F$22)</f>
        <v/>
      </c>
      <c r="G25" s="77" t="str">
        <f t="shared" si="4"/>
        <v/>
      </c>
      <c r="H25" s="34">
        <v>4</v>
      </c>
      <c r="I25" s="35"/>
      <c r="J25" s="35"/>
      <c r="K25" s="35"/>
      <c r="L25" s="35"/>
      <c r="M25" s="35"/>
      <c r="N25" s="35"/>
      <c r="O25" s="35"/>
      <c r="P25" s="35"/>
      <c r="Q25" s="36"/>
    </row>
    <row r="26" spans="1:17" ht="15" thickBot="1" x14ac:dyDescent="0.35">
      <c r="A26" s="78" t="str">
        <f>IF(ISBLANK(I26),"",A$22)</f>
        <v/>
      </c>
      <c r="B26" s="79" t="str">
        <f>IF(ISBLANK(I26),"",B$22)</f>
        <v/>
      </c>
      <c r="C26" s="79" t="str">
        <f>IF(ISBLANK(I26),"",C$22)</f>
        <v/>
      </c>
      <c r="D26" s="79" t="str">
        <f>IF(ISBLANK(I26),"",D$22)</f>
        <v/>
      </c>
      <c r="E26" s="79" t="str">
        <f>IF(ISBLANK(I26),"",E$22)</f>
        <v/>
      </c>
      <c r="F26" s="79" t="str">
        <f>IF(ISBLANK(I26),"",F$22)</f>
        <v/>
      </c>
      <c r="G26" s="80" t="str">
        <f>IF(ISBLANK(I26),"",IF(ISBLANK(G$22),"",G$22))</f>
        <v/>
      </c>
      <c r="H26" s="37">
        <v>5</v>
      </c>
      <c r="I26" s="38"/>
      <c r="J26" s="38"/>
      <c r="K26" s="38"/>
      <c r="L26" s="38"/>
      <c r="M26" s="38"/>
      <c r="N26" s="38"/>
      <c r="O26" s="38"/>
      <c r="P26" s="38"/>
      <c r="Q26" s="39"/>
    </row>
    <row r="27" spans="1:17" s="73" customFormat="1" x14ac:dyDescent="0.3">
      <c r="A27" s="117" t="str">
        <f>IF(ISBLANK(I27),"",A$2)</f>
        <v/>
      </c>
      <c r="B27" s="111"/>
      <c r="C27" s="104">
        <v>6</v>
      </c>
      <c r="D27" s="111"/>
      <c r="E27" s="111"/>
      <c r="F27" s="112"/>
      <c r="G27" s="110"/>
      <c r="H27" s="40">
        <v>1</v>
      </c>
      <c r="I27" s="41"/>
      <c r="J27" s="41"/>
      <c r="K27" s="41"/>
      <c r="L27" s="41"/>
      <c r="M27" s="41"/>
      <c r="N27" s="41"/>
      <c r="O27" s="41"/>
      <c r="P27" s="41"/>
      <c r="Q27" s="42"/>
    </row>
    <row r="28" spans="1:17" x14ac:dyDescent="0.3">
      <c r="A28" s="87" t="str">
        <f>IF(ISBLANK(I28),"",A$27)</f>
        <v/>
      </c>
      <c r="B28" s="88" t="str">
        <f>IF(ISBLANK(I28),"",B$27)</f>
        <v/>
      </c>
      <c r="C28" s="88" t="str">
        <f>IF(ISBLANK(I28),"",C$27)</f>
        <v/>
      </c>
      <c r="D28" s="88" t="str">
        <f>IF(ISBLANK(I28),"",D$27)</f>
        <v/>
      </c>
      <c r="E28" s="88" t="str">
        <f>IF(ISBLANK(I28),"",E$27)</f>
        <v/>
      </c>
      <c r="F28" s="88" t="str">
        <f>IF(ISBLANK(I28),"",F$27)</f>
        <v/>
      </c>
      <c r="G28" s="86" t="str">
        <f>IF(ISBLANK(I28),"",IF(ISBLANK(G$27),"",G$27))</f>
        <v/>
      </c>
      <c r="H28" s="43">
        <v>2</v>
      </c>
      <c r="I28" s="44"/>
      <c r="J28" s="44"/>
      <c r="K28" s="44"/>
      <c r="L28" s="44"/>
      <c r="M28" s="44"/>
      <c r="N28" s="44"/>
      <c r="O28" s="44"/>
      <c r="P28" s="44"/>
      <c r="Q28" s="45"/>
    </row>
    <row r="29" spans="1:17" x14ac:dyDescent="0.3">
      <c r="A29" s="87" t="str">
        <f>IF(ISBLANK(I29),"",A$27)</f>
        <v/>
      </c>
      <c r="B29" s="88" t="str">
        <f>IF(ISBLANK(I29),"",B$27)</f>
        <v/>
      </c>
      <c r="C29" s="88" t="str">
        <f>IF(ISBLANK(I29),"",C$27)</f>
        <v/>
      </c>
      <c r="D29" s="88" t="str">
        <f>IF(ISBLANK(I29),"",D$27)</f>
        <v/>
      </c>
      <c r="E29" s="88" t="str">
        <f>IF(ISBLANK(I29),"",E$27)</f>
        <v/>
      </c>
      <c r="F29" s="88" t="str">
        <f>IF(ISBLANK(I29),"",F$27)</f>
        <v/>
      </c>
      <c r="G29" s="86" t="str">
        <f>IF(ISBLANK(I29),"",IF(ISBLANK(G$27),"",G$27))</f>
        <v/>
      </c>
      <c r="H29" s="43">
        <v>3</v>
      </c>
      <c r="I29" s="44"/>
      <c r="J29" s="44"/>
      <c r="K29" s="44"/>
      <c r="L29" s="44"/>
      <c r="M29" s="44"/>
      <c r="N29" s="44"/>
      <c r="O29" s="44"/>
      <c r="P29" s="44"/>
      <c r="Q29" s="45"/>
    </row>
    <row r="30" spans="1:17" x14ac:dyDescent="0.3">
      <c r="A30" s="87" t="str">
        <f>IF(ISBLANK(I30),"",A$27)</f>
        <v/>
      </c>
      <c r="B30" s="88" t="str">
        <f>IF(ISBLANK(I30),"",B$27)</f>
        <v/>
      </c>
      <c r="C30" s="88" t="str">
        <f>IF(ISBLANK(I30),"",C$27)</f>
        <v/>
      </c>
      <c r="D30" s="88" t="str">
        <f>IF(ISBLANK(I30),"",D$27)</f>
        <v/>
      </c>
      <c r="E30" s="88" t="str">
        <f>IF(ISBLANK(I30),"",E$27)</f>
        <v/>
      </c>
      <c r="F30" s="88" t="str">
        <f>IF(ISBLANK(I30),"",F$27)</f>
        <v/>
      </c>
      <c r="G30" s="86" t="str">
        <f t="shared" ref="G30:G31" si="5">IF(ISBLANK(I30),"",IF(ISBLANK(G$27),"",G$27))</f>
        <v/>
      </c>
      <c r="H30" s="43">
        <v>4</v>
      </c>
      <c r="I30" s="44"/>
      <c r="J30" s="44"/>
      <c r="K30" s="44"/>
      <c r="L30" s="44"/>
      <c r="M30" s="44"/>
      <c r="N30" s="44"/>
      <c r="O30" s="44"/>
      <c r="P30" s="44"/>
      <c r="Q30" s="45"/>
    </row>
    <row r="31" spans="1:17" ht="15" thickBot="1" x14ac:dyDescent="0.35">
      <c r="A31" s="91" t="str">
        <f>IF(ISBLANK(I31),"",A$27)</f>
        <v/>
      </c>
      <c r="B31" s="88" t="str">
        <f>IF(ISBLANK(I31),"",B$27)</f>
        <v/>
      </c>
      <c r="C31" s="88" t="str">
        <f>IF(ISBLANK(I31),"",C$27)</f>
        <v/>
      </c>
      <c r="D31" s="88" t="str">
        <f>IF(ISBLANK(I31),"",D$27)</f>
        <v/>
      </c>
      <c r="E31" s="88" t="str">
        <f>IF(ISBLANK(I31),"",E$27)</f>
        <v/>
      </c>
      <c r="F31" s="88" t="str">
        <f>IF(ISBLANK(I31),"",F$27)</f>
        <v/>
      </c>
      <c r="G31" s="90" t="str">
        <f t="shared" si="5"/>
        <v/>
      </c>
      <c r="H31" s="46">
        <v>5</v>
      </c>
      <c r="I31" s="47"/>
      <c r="J31" s="47"/>
      <c r="K31" s="47"/>
      <c r="L31" s="47"/>
      <c r="M31" s="47"/>
      <c r="N31" s="47"/>
      <c r="O31" s="47"/>
      <c r="P31" s="47"/>
      <c r="Q31" s="48"/>
    </row>
    <row r="32" spans="1:17" s="73" customFormat="1" x14ac:dyDescent="0.3">
      <c r="A32" s="116" t="str">
        <f>IF(ISBLANK(I32),"",A$2)</f>
        <v/>
      </c>
      <c r="B32" s="106"/>
      <c r="C32" s="102">
        <v>7</v>
      </c>
      <c r="D32" s="106"/>
      <c r="E32" s="106"/>
      <c r="F32" s="107"/>
      <c r="G32" s="113"/>
      <c r="H32" s="32">
        <v>1</v>
      </c>
      <c r="I32" s="31"/>
      <c r="J32" s="31"/>
      <c r="K32" s="31"/>
      <c r="L32" s="31"/>
      <c r="M32" s="31"/>
      <c r="N32" s="31"/>
      <c r="O32" s="31"/>
      <c r="P32" s="31"/>
      <c r="Q32" s="33"/>
    </row>
    <row r="33" spans="1:17" x14ac:dyDescent="0.3">
      <c r="A33" s="74" t="str">
        <f>IF(ISBLANK(I33),"",A$32)</f>
        <v/>
      </c>
      <c r="B33" s="75" t="str">
        <f>IF(ISBLANK(I33),"",B$32)</f>
        <v/>
      </c>
      <c r="C33" s="75" t="str">
        <f>IF(ISBLANK(I33),"",C$32)</f>
        <v/>
      </c>
      <c r="D33" s="75" t="str">
        <f>IF(ISBLANK(I33),"",D$32)</f>
        <v/>
      </c>
      <c r="E33" s="75" t="str">
        <f>IF(ISBLANK(I33),"",E$32)</f>
        <v/>
      </c>
      <c r="F33" s="75" t="str">
        <f>IF(ISBLANK(I33),"",F$32)</f>
        <v/>
      </c>
      <c r="G33" s="76" t="str">
        <f>IF(ISBLANK(I33),"",IF(ISBLANK(G$32),"",G$32))</f>
        <v/>
      </c>
      <c r="H33" s="34">
        <v>2</v>
      </c>
      <c r="I33" s="35"/>
      <c r="J33" s="35"/>
      <c r="K33" s="35"/>
      <c r="L33" s="35"/>
      <c r="M33" s="35"/>
      <c r="N33" s="35"/>
      <c r="O33" s="35"/>
      <c r="P33" s="35"/>
      <c r="Q33" s="36"/>
    </row>
    <row r="34" spans="1:17" x14ac:dyDescent="0.3">
      <c r="A34" s="74" t="str">
        <f>IF(ISBLANK(I34),"",A$32)</f>
        <v/>
      </c>
      <c r="B34" s="75" t="str">
        <f>IF(ISBLANK(I34),"",B$32)</f>
        <v/>
      </c>
      <c r="C34" s="75" t="str">
        <f>IF(ISBLANK(I34),"",C$32)</f>
        <v/>
      </c>
      <c r="D34" s="75" t="str">
        <f>IF(ISBLANK(I34),"",D$32)</f>
        <v/>
      </c>
      <c r="E34" s="75" t="str">
        <f>IF(ISBLANK(I34),"",E$32)</f>
        <v/>
      </c>
      <c r="F34" s="75" t="str">
        <f>IF(ISBLANK(I34),"",F$32)</f>
        <v/>
      </c>
      <c r="G34" s="77" t="str">
        <f t="shared" ref="G34:G36" si="6">IF(ISBLANK(I34),"",IF(ISBLANK(G$32),"",G$32))</f>
        <v/>
      </c>
      <c r="H34" s="34">
        <v>3</v>
      </c>
      <c r="I34" s="35"/>
      <c r="J34" s="35"/>
      <c r="K34" s="35"/>
      <c r="L34" s="35"/>
      <c r="M34" s="35"/>
      <c r="N34" s="35"/>
      <c r="O34" s="35"/>
      <c r="P34" s="35"/>
      <c r="Q34" s="36"/>
    </row>
    <row r="35" spans="1:17" x14ac:dyDescent="0.3">
      <c r="A35" s="74" t="str">
        <f>IF(ISBLANK(I35),"",A$32)</f>
        <v/>
      </c>
      <c r="B35" s="75" t="str">
        <f>IF(ISBLANK(I35),"",B$32)</f>
        <v/>
      </c>
      <c r="C35" s="75" t="str">
        <f>IF(ISBLANK(I35),"",C$32)</f>
        <v/>
      </c>
      <c r="D35" s="75" t="str">
        <f>IF(ISBLANK(I35),"",D$32)</f>
        <v/>
      </c>
      <c r="E35" s="75" t="str">
        <f>IF(ISBLANK(I35),"",E$32)</f>
        <v/>
      </c>
      <c r="F35" s="75" t="str">
        <f>IF(ISBLANK(I35),"",F$32)</f>
        <v/>
      </c>
      <c r="G35" s="77" t="str">
        <f>IF(ISBLANK(I35),"",IF(ISBLANK(G$32),"",G$32))</f>
        <v/>
      </c>
      <c r="H35" s="34">
        <v>4</v>
      </c>
      <c r="I35" s="35"/>
      <c r="J35" s="35"/>
      <c r="K35" s="35"/>
      <c r="L35" s="35"/>
      <c r="M35" s="35"/>
      <c r="N35" s="35"/>
      <c r="O35" s="35"/>
      <c r="P35" s="35"/>
      <c r="Q35" s="36"/>
    </row>
    <row r="36" spans="1:17" ht="15" thickBot="1" x14ac:dyDescent="0.35">
      <c r="A36" s="78" t="str">
        <f>IF(ISBLANK(I36),"",A$32)</f>
        <v/>
      </c>
      <c r="B36" s="79" t="str">
        <f>IF(ISBLANK(I36),"",B$32)</f>
        <v/>
      </c>
      <c r="C36" s="79" t="str">
        <f>IF(ISBLANK(I36),"",C$32)</f>
        <v/>
      </c>
      <c r="D36" s="79" t="str">
        <f>IF(ISBLANK(I36),"",D$32)</f>
        <v/>
      </c>
      <c r="E36" s="79" t="str">
        <f>IF(ISBLANK(I36),"",E$32)</f>
        <v/>
      </c>
      <c r="F36" s="79" t="str">
        <f>IF(ISBLANK(I36),"",F$32)</f>
        <v/>
      </c>
      <c r="G36" s="80" t="str">
        <f t="shared" si="6"/>
        <v/>
      </c>
      <c r="H36" s="37">
        <v>5</v>
      </c>
      <c r="I36" s="38"/>
      <c r="J36" s="38"/>
      <c r="K36" s="38"/>
      <c r="L36" s="38"/>
      <c r="M36" s="38"/>
      <c r="N36" s="38"/>
      <c r="O36" s="38"/>
      <c r="P36" s="38"/>
      <c r="Q36" s="39"/>
    </row>
    <row r="37" spans="1:17" s="73" customFormat="1" x14ac:dyDescent="0.3">
      <c r="A37" s="117" t="str">
        <f>IF(ISBLANK(I37),"",A$2)</f>
        <v/>
      </c>
      <c r="B37" s="111"/>
      <c r="C37" s="104">
        <v>8</v>
      </c>
      <c r="D37" s="111"/>
      <c r="E37" s="111"/>
      <c r="F37" s="112"/>
      <c r="G37" s="110"/>
      <c r="H37" s="40">
        <v>1</v>
      </c>
      <c r="I37" s="41"/>
      <c r="J37" s="41"/>
      <c r="K37" s="41"/>
      <c r="L37" s="41"/>
      <c r="M37" s="41"/>
      <c r="N37" s="41"/>
      <c r="O37" s="41"/>
      <c r="P37" s="41"/>
      <c r="Q37" s="42"/>
    </row>
    <row r="38" spans="1:17" x14ac:dyDescent="0.3">
      <c r="A38" s="87" t="str">
        <f>IF(ISBLANK(I38),"",A$37)</f>
        <v/>
      </c>
      <c r="B38" s="85" t="str">
        <f>IF(ISBLANK(I38),"",B$37)</f>
        <v/>
      </c>
      <c r="C38" s="85" t="str">
        <f>IF(ISBLANK(I38),"",C$37)</f>
        <v/>
      </c>
      <c r="D38" s="85" t="str">
        <f>IF(ISBLANK(I38),"",D$37)</f>
        <v/>
      </c>
      <c r="E38" s="85" t="str">
        <f>IF(ISBLANK(I38),"",E$37)</f>
        <v/>
      </c>
      <c r="F38" s="85" t="str">
        <f>IF(ISBLANK(I38),"",F$37)</f>
        <v/>
      </c>
      <c r="G38" s="86" t="str">
        <f>IF(ISBLANK(I38),"",IF(ISBLANK(G$37),"",G$37))</f>
        <v/>
      </c>
      <c r="H38" s="43">
        <v>2</v>
      </c>
      <c r="I38" s="44"/>
      <c r="J38" s="44"/>
      <c r="K38" s="44"/>
      <c r="L38" s="44"/>
      <c r="M38" s="44"/>
      <c r="N38" s="44"/>
      <c r="O38" s="44"/>
      <c r="P38" s="44"/>
      <c r="Q38" s="45"/>
    </row>
    <row r="39" spans="1:17" x14ac:dyDescent="0.3">
      <c r="A39" s="87" t="str">
        <f>IF(ISBLANK(I39),"",A$37)</f>
        <v/>
      </c>
      <c r="B39" s="88" t="str">
        <f>IF(ISBLANK(I39),"",B$37)</f>
        <v/>
      </c>
      <c r="C39" s="88" t="str">
        <f>IF(ISBLANK(I39),"",C$37)</f>
        <v/>
      </c>
      <c r="D39" s="88" t="str">
        <f>IF(ISBLANK(I39),"",D$37)</f>
        <v/>
      </c>
      <c r="E39" s="88" t="str">
        <f>IF(ISBLANK(I39),"",E$37)</f>
        <v/>
      </c>
      <c r="F39" s="88" t="str">
        <f>IF(ISBLANK(I39),"",F$37)</f>
        <v/>
      </c>
      <c r="G39" s="86" t="str">
        <f t="shared" ref="G39:G40" si="7">IF(ISBLANK(I39),"",IF(ISBLANK(G$37),"",G$37))</f>
        <v/>
      </c>
      <c r="H39" s="43">
        <v>3</v>
      </c>
      <c r="I39" s="44"/>
      <c r="J39" s="44"/>
      <c r="K39" s="44"/>
      <c r="L39" s="44"/>
      <c r="M39" s="44"/>
      <c r="N39" s="44"/>
      <c r="O39" s="44"/>
      <c r="P39" s="44"/>
      <c r="Q39" s="45"/>
    </row>
    <row r="40" spans="1:17" x14ac:dyDescent="0.3">
      <c r="A40" s="87" t="str">
        <f>IF(ISBLANK(I40),"",A$37)</f>
        <v/>
      </c>
      <c r="B40" s="88" t="str">
        <f>IF(ISBLANK(I40),"",B$37)</f>
        <v/>
      </c>
      <c r="C40" s="88" t="str">
        <f>IF(ISBLANK(I40),"",C$37)</f>
        <v/>
      </c>
      <c r="D40" s="88" t="str">
        <f>IF(ISBLANK(I40),"",D$37)</f>
        <v/>
      </c>
      <c r="E40" s="88" t="str">
        <f>IF(ISBLANK(I40),"",E$37)</f>
        <v/>
      </c>
      <c r="F40" s="88" t="str">
        <f>IF(ISBLANK(I40),"",F$37)</f>
        <v/>
      </c>
      <c r="G40" s="86" t="str">
        <f t="shared" si="7"/>
        <v/>
      </c>
      <c r="H40" s="43">
        <v>4</v>
      </c>
      <c r="I40" s="44"/>
      <c r="J40" s="44"/>
      <c r="K40" s="44"/>
      <c r="L40" s="44"/>
      <c r="M40" s="44"/>
      <c r="N40" s="44"/>
      <c r="O40" s="44"/>
      <c r="P40" s="44"/>
      <c r="Q40" s="45"/>
    </row>
    <row r="41" spans="1:17" ht="15" thickBot="1" x14ac:dyDescent="0.35">
      <c r="A41" s="91" t="str">
        <f>IF(ISBLANK(I41),"",A$37)</f>
        <v/>
      </c>
      <c r="B41" s="88" t="str">
        <f>IF(ISBLANK(I41),"",B$37)</f>
        <v/>
      </c>
      <c r="C41" s="88" t="str">
        <f>IF(ISBLANK(I41),"",C$37)</f>
        <v/>
      </c>
      <c r="D41" s="88" t="str">
        <f>IF(ISBLANK(I41),"",D$37)</f>
        <v/>
      </c>
      <c r="E41" s="88" t="str">
        <f>IF(ISBLANK(I41),"",E$37)</f>
        <v/>
      </c>
      <c r="F41" s="88" t="str">
        <f>IF(ISBLANK(I41),"",F$37)</f>
        <v/>
      </c>
      <c r="G41" s="90" t="str">
        <f>IF(ISBLANK(I41),"",IF(ISBLANK(G$37),"",G$37))</f>
        <v/>
      </c>
      <c r="H41" s="46">
        <v>5</v>
      </c>
      <c r="I41" s="47"/>
      <c r="J41" s="47"/>
      <c r="K41" s="47"/>
      <c r="L41" s="47"/>
      <c r="M41" s="47"/>
      <c r="N41" s="47"/>
      <c r="O41" s="47"/>
      <c r="P41" s="47"/>
      <c r="Q41" s="48"/>
    </row>
    <row r="42" spans="1:17" s="73" customFormat="1" x14ac:dyDescent="0.3">
      <c r="A42" s="116" t="str">
        <f>IF(ISBLANK(I42),"",A$2)</f>
        <v/>
      </c>
      <c r="B42" s="106"/>
      <c r="C42" s="102">
        <v>9</v>
      </c>
      <c r="D42" s="106"/>
      <c r="E42" s="106"/>
      <c r="F42" s="107"/>
      <c r="G42" s="106"/>
      <c r="H42" s="32">
        <v>1</v>
      </c>
      <c r="I42" s="31"/>
      <c r="J42" s="31"/>
      <c r="K42" s="31"/>
      <c r="L42" s="31"/>
      <c r="M42" s="31"/>
      <c r="N42" s="31"/>
      <c r="O42" s="31"/>
      <c r="P42" s="31"/>
      <c r="Q42" s="33"/>
    </row>
    <row r="43" spans="1:17" x14ac:dyDescent="0.3">
      <c r="A43" s="74" t="str">
        <f>IF(ISBLANK(I43),"",A$42)</f>
        <v/>
      </c>
      <c r="B43" s="75" t="str">
        <f>IF(ISBLANK(I43),"",B$42)</f>
        <v/>
      </c>
      <c r="C43" s="75" t="str">
        <f>IF(ISBLANK(I43),"",C$42)</f>
        <v/>
      </c>
      <c r="D43" s="75" t="str">
        <f>IF(ISBLANK(I43),"",D$42)</f>
        <v/>
      </c>
      <c r="E43" s="75" t="str">
        <f>IF(ISBLANK(I43),"",E$42)</f>
        <v/>
      </c>
      <c r="F43" s="75" t="str">
        <f>IF(ISBLANK(I43),"",F$42)</f>
        <v/>
      </c>
      <c r="G43" s="76" t="str">
        <f>IF(ISBLANK(I43),"",IF(ISBLANK(G$42),"",G$42))</f>
        <v/>
      </c>
      <c r="H43" s="34">
        <v>2</v>
      </c>
      <c r="I43" s="35"/>
      <c r="J43" s="35"/>
      <c r="K43" s="35"/>
      <c r="L43" s="35"/>
      <c r="M43" s="35"/>
      <c r="N43" s="35"/>
      <c r="O43" s="35"/>
      <c r="P43" s="35"/>
      <c r="Q43" s="36"/>
    </row>
    <row r="44" spans="1:17" x14ac:dyDescent="0.3">
      <c r="A44" s="74" t="str">
        <f>IF(ISBLANK(I44),"",A$42)</f>
        <v/>
      </c>
      <c r="B44" s="75" t="str">
        <f>IF(ISBLANK(I44),"",B$42)</f>
        <v/>
      </c>
      <c r="C44" s="75" t="str">
        <f>IF(ISBLANK(I44),"",C$42)</f>
        <v/>
      </c>
      <c r="D44" s="75" t="str">
        <f>IF(ISBLANK(I44),"",D$42)</f>
        <v/>
      </c>
      <c r="E44" s="75" t="str">
        <f>IF(ISBLANK(I44),"",E$42)</f>
        <v/>
      </c>
      <c r="F44" s="75" t="str">
        <f>IF(ISBLANK(I44),"",F$42)</f>
        <v/>
      </c>
      <c r="G44" s="77" t="str">
        <f t="shared" ref="G44" si="8">IF(ISBLANK(I44),"",IF(ISBLANK(G$42),"",G$42))</f>
        <v/>
      </c>
      <c r="H44" s="34">
        <v>3</v>
      </c>
      <c r="I44" s="35"/>
      <c r="J44" s="35"/>
      <c r="K44" s="35"/>
      <c r="L44" s="35"/>
      <c r="M44" s="35"/>
      <c r="N44" s="35"/>
      <c r="O44" s="35"/>
      <c r="P44" s="35"/>
      <c r="Q44" s="36"/>
    </row>
    <row r="45" spans="1:17" x14ac:dyDescent="0.3">
      <c r="A45" s="74" t="str">
        <f>IF(ISBLANK(I45),"",A$42)</f>
        <v/>
      </c>
      <c r="B45" s="75" t="str">
        <f>IF(ISBLANK(I45),"",B$42)</f>
        <v/>
      </c>
      <c r="C45" s="75" t="str">
        <f>IF(ISBLANK(I45),"",C$42)</f>
        <v/>
      </c>
      <c r="D45" s="75" t="str">
        <f>IF(ISBLANK(I45),"",D$42)</f>
        <v/>
      </c>
      <c r="E45" s="75" t="str">
        <f>IF(ISBLANK(I45),"",E$42)</f>
        <v/>
      </c>
      <c r="F45" s="75" t="str">
        <f>IF(ISBLANK(I45),"",F$42)</f>
        <v/>
      </c>
      <c r="G45" s="77" t="str">
        <f>IF(ISBLANK(I45),"",IF(ISBLANK(G$42),"",G$42))</f>
        <v/>
      </c>
      <c r="H45" s="34">
        <v>4</v>
      </c>
      <c r="I45" s="35"/>
      <c r="J45" s="35"/>
      <c r="K45" s="35"/>
      <c r="L45" s="35"/>
      <c r="M45" s="35"/>
      <c r="N45" s="35"/>
      <c r="O45" s="35"/>
      <c r="P45" s="35"/>
      <c r="Q45" s="36"/>
    </row>
    <row r="46" spans="1:17" ht="15" thickBot="1" x14ac:dyDescent="0.35">
      <c r="A46" s="78" t="str">
        <f>IF(ISBLANK(I46),"",A$42)</f>
        <v/>
      </c>
      <c r="B46" s="79" t="str">
        <f>IF(ISBLANK(I46),"",B$42)</f>
        <v/>
      </c>
      <c r="C46" s="79" t="str">
        <f>IF(ISBLANK(I46),"",C$42)</f>
        <v/>
      </c>
      <c r="D46" s="79" t="str">
        <f>IF(ISBLANK(I46),"",D$42)</f>
        <v/>
      </c>
      <c r="E46" s="79" t="str">
        <f>IF(ISBLANK(I46),"",E$42)</f>
        <v/>
      </c>
      <c r="F46" s="79" t="str">
        <f>IF(ISBLANK(I46),"",F$42)</f>
        <v/>
      </c>
      <c r="G46" s="80" t="str">
        <f>IF(ISBLANK(I46),"",IF(ISBLANK(G$42),"",G$42))</f>
        <v/>
      </c>
      <c r="H46" s="37">
        <v>5</v>
      </c>
      <c r="I46" s="38"/>
      <c r="J46" s="38"/>
      <c r="K46" s="38"/>
      <c r="L46" s="38"/>
      <c r="M46" s="38"/>
      <c r="N46" s="38"/>
      <c r="O46" s="38"/>
      <c r="P46" s="38"/>
      <c r="Q46" s="39"/>
    </row>
    <row r="47" spans="1:17" s="73" customFormat="1" x14ac:dyDescent="0.3">
      <c r="A47" s="117" t="str">
        <f>IF(ISBLANK(I47),"",A$2)</f>
        <v/>
      </c>
      <c r="B47" s="111"/>
      <c r="C47" s="104">
        <v>10</v>
      </c>
      <c r="D47" s="111"/>
      <c r="E47" s="111"/>
      <c r="F47" s="112"/>
      <c r="G47" s="110"/>
      <c r="H47" s="40">
        <v>1</v>
      </c>
      <c r="I47" s="41"/>
      <c r="J47" s="41"/>
      <c r="K47" s="41"/>
      <c r="L47" s="41"/>
      <c r="M47" s="41"/>
      <c r="N47" s="41"/>
      <c r="O47" s="41"/>
      <c r="P47" s="41"/>
      <c r="Q47" s="42"/>
    </row>
    <row r="48" spans="1:17" x14ac:dyDescent="0.3">
      <c r="A48" s="87" t="str">
        <f>IF(ISBLANK(I48),"",A$47)</f>
        <v/>
      </c>
      <c r="B48" s="85" t="str">
        <f>IF(ISBLANK(I48),"",B$47)</f>
        <v/>
      </c>
      <c r="C48" s="85" t="str">
        <f>IF(ISBLANK(I48),"",C$47)</f>
        <v/>
      </c>
      <c r="D48" s="85" t="str">
        <f>IF(ISBLANK(I48),"",D$47)</f>
        <v/>
      </c>
      <c r="E48" s="85" t="str">
        <f>IF(ISBLANK(I48),"",E$47)</f>
        <v/>
      </c>
      <c r="F48" s="85" t="str">
        <f>IF(ISBLANK(I48),"",F$47)</f>
        <v/>
      </c>
      <c r="G48" s="86" t="str">
        <f>IF(ISBLANK(I48),"",IF(ISBLANK(G$47),"",G$47))</f>
        <v/>
      </c>
      <c r="H48" s="43">
        <v>2</v>
      </c>
      <c r="I48" s="44"/>
      <c r="J48" s="44"/>
      <c r="K48" s="44"/>
      <c r="L48" s="44"/>
      <c r="M48" s="44"/>
      <c r="N48" s="44"/>
      <c r="O48" s="44"/>
      <c r="P48" s="44"/>
      <c r="Q48" s="45"/>
    </row>
    <row r="49" spans="1:17" x14ac:dyDescent="0.3">
      <c r="A49" s="87" t="str">
        <f>IF(ISBLANK(I49),"",A$47)</f>
        <v/>
      </c>
      <c r="B49" s="88" t="str">
        <f>IF(ISBLANK(I49),"",B$47)</f>
        <v/>
      </c>
      <c r="C49" s="88" t="str">
        <f>IF(ISBLANK(I49),"",C$47)</f>
        <v/>
      </c>
      <c r="D49" s="88" t="str">
        <f>IF(ISBLANK(I49),"",D$47)</f>
        <v/>
      </c>
      <c r="E49" s="88" t="str">
        <f>IF(ISBLANK(I49),"",E$47)</f>
        <v/>
      </c>
      <c r="F49" s="88" t="str">
        <f>IF(ISBLANK(I49),"",F$47)</f>
        <v/>
      </c>
      <c r="G49" s="86" t="str">
        <f t="shared" ref="G49:G51" si="9">IF(ISBLANK(I49),"",IF(ISBLANK(G$47),"",G$47))</f>
        <v/>
      </c>
      <c r="H49" s="43">
        <v>3</v>
      </c>
      <c r="I49" s="44"/>
      <c r="J49" s="44"/>
      <c r="K49" s="44"/>
      <c r="L49" s="44"/>
      <c r="M49" s="44"/>
      <c r="N49" s="44"/>
      <c r="O49" s="44"/>
      <c r="P49" s="44"/>
      <c r="Q49" s="45"/>
    </row>
    <row r="50" spans="1:17" x14ac:dyDescent="0.3">
      <c r="A50" s="87" t="str">
        <f>IF(ISBLANK(I50),"",A$47)</f>
        <v/>
      </c>
      <c r="B50" s="88" t="str">
        <f>IF(ISBLANK(I50),"",B$47)</f>
        <v/>
      </c>
      <c r="C50" s="88" t="str">
        <f>IF(ISBLANK(I50),"",C$47)</f>
        <v/>
      </c>
      <c r="D50" s="88" t="str">
        <f>IF(ISBLANK(I50),"",D$47)</f>
        <v/>
      </c>
      <c r="E50" s="88" t="str">
        <f>IF(ISBLANK(I50),"",E$47)</f>
        <v/>
      </c>
      <c r="F50" s="88" t="str">
        <f>IF(ISBLANK(I50),"",F$47)</f>
        <v/>
      </c>
      <c r="G50" s="86" t="str">
        <f t="shared" si="9"/>
        <v/>
      </c>
      <c r="H50" s="43">
        <v>4</v>
      </c>
      <c r="I50" s="44"/>
      <c r="J50" s="44"/>
      <c r="K50" s="44"/>
      <c r="L50" s="44"/>
      <c r="M50" s="44"/>
      <c r="N50" s="44"/>
      <c r="O50" s="44"/>
      <c r="P50" s="44"/>
      <c r="Q50" s="45"/>
    </row>
    <row r="51" spans="1:17" ht="15" thickBot="1" x14ac:dyDescent="0.35">
      <c r="A51" s="91" t="str">
        <f>IF(ISBLANK(I51),"",A$47)</f>
        <v/>
      </c>
      <c r="B51" s="89" t="str">
        <f>IF(ISBLANK(I51),"",B$47)</f>
        <v/>
      </c>
      <c r="C51" s="89" t="str">
        <f>IF(ISBLANK(I51),"",C$47)</f>
        <v/>
      </c>
      <c r="D51" s="89" t="str">
        <f>IF(ISBLANK(I51),"",D$47)</f>
        <v/>
      </c>
      <c r="E51" s="89" t="str">
        <f>IF(ISBLANK(I51),"",E$47)</f>
        <v/>
      </c>
      <c r="F51" s="89" t="str">
        <f>IF(ISBLANK(I51),"",F$47)</f>
        <v/>
      </c>
      <c r="G51" s="90" t="str">
        <f t="shared" si="9"/>
        <v/>
      </c>
      <c r="H51" s="49">
        <v>5</v>
      </c>
      <c r="I51" s="50"/>
      <c r="J51" s="50"/>
      <c r="K51" s="50"/>
      <c r="L51" s="50"/>
      <c r="M51" s="50"/>
      <c r="N51" s="50"/>
      <c r="O51" s="50"/>
      <c r="P51" s="50"/>
      <c r="Q51" s="5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E7 E17 E22 E27 E32 E37 E42 E47 E12 E2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I2:I47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J2:J51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F2 F7 F12 F17 F22 F27 F32 F37 F42 F47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topLeftCell="B1" zoomScaleNormal="100" workbookViewId="0">
      <selection activeCell="E24" sqref="E24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114" t="str">
        <f>_xlfn.CONCAT("Schedule for ",TEXT(Flight_inventory!A2,"mm/dd/yyy"))</f>
        <v>Schedule for 07/04/2026</v>
      </c>
      <c r="B1" s="114"/>
      <c r="C1" s="114"/>
      <c r="D1" s="114"/>
      <c r="E1" s="114"/>
      <c r="F1" s="114"/>
      <c r="G1" s="114"/>
      <c r="H1" s="114"/>
      <c r="I1" s="114"/>
      <c r="J1" s="114"/>
      <c r="K1" s="29"/>
    </row>
    <row r="3" spans="1:11" ht="41.4" x14ac:dyDescent="0.3">
      <c r="A3" s="12" t="s">
        <v>44</v>
      </c>
      <c r="B3" s="13" t="s">
        <v>30</v>
      </c>
      <c r="C3" s="13" t="s">
        <v>39</v>
      </c>
      <c r="D3" s="13" t="s">
        <v>40</v>
      </c>
      <c r="E3" s="13" t="s">
        <v>41</v>
      </c>
      <c r="F3" s="13" t="s">
        <v>42</v>
      </c>
      <c r="G3" s="13" t="s">
        <v>43</v>
      </c>
      <c r="H3" s="13" t="s">
        <v>87</v>
      </c>
      <c r="I3" s="13" t="s">
        <v>88</v>
      </c>
      <c r="J3" s="14" t="s">
        <v>11</v>
      </c>
    </row>
    <row r="4" spans="1:11" s="10" customFormat="1" x14ac:dyDescent="0.3">
      <c r="A4" s="15" t="str" cm="1">
        <f t="array" ref="A4:J18">_xlfn._xlws.PY(0,0,Flight_inventory!A1:Q51,List_plots!A1:N301,List_phones!A1:B11,List_hub!A1:C11)</f>
        <v>1</v>
      </c>
      <c r="B4" s="16" t="str">
        <v>1</v>
      </c>
      <c r="C4" s="16" t="str">
        <v>p2</v>
      </c>
      <c r="D4" s="16" t="str">
        <v>o101</v>
      </c>
      <c r="E4" s="16" t="str">
        <v>cl2</v>
      </c>
      <c r="F4" s="16" t="str">
        <v>red</v>
      </c>
      <c r="G4" s="16" t="str">
        <v>217</v>
      </c>
      <c r="H4" s="16" t="str">
        <v>242</v>
      </c>
      <c r="I4" s="16" t="str">
        <v>(64.7445602  ;  -156.1340485)</v>
      </c>
      <c r="J4" s="17" t="str">
        <v/>
      </c>
    </row>
    <row r="5" spans="1:11" x14ac:dyDescent="0.3">
      <c r="A5" s="18" t="str">
        <v/>
      </c>
      <c r="B5" s="19" t="str">
        <v/>
      </c>
      <c r="C5" s="19" t="str">
        <v/>
      </c>
      <c r="D5" s="19" t="str">
        <v/>
      </c>
      <c r="E5" s="19" t="str">
        <v>cm1</v>
      </c>
      <c r="F5" s="19" t="str">
        <v/>
      </c>
      <c r="G5" s="19" t="str">
        <v/>
      </c>
      <c r="H5" s="19" t="str">
        <v/>
      </c>
      <c r="I5" s="19" t="str">
        <v/>
      </c>
      <c r="J5" s="20" t="str">
        <v/>
      </c>
    </row>
    <row r="6" spans="1:11" x14ac:dyDescent="0.3">
      <c r="A6" s="18" t="str">
        <v>Pilot: p1</v>
      </c>
      <c r="B6" s="19" t="str">
        <v/>
      </c>
      <c r="C6" s="19" t="str">
        <v>Elev: 55 ft</v>
      </c>
      <c r="D6" s="19" t="str">
        <v>Cnty: c2</v>
      </c>
      <c r="E6" s="19" t="str">
        <v>cm2</v>
      </c>
      <c r="F6" s="19" t="str">
        <v>907-699-9999</v>
      </c>
      <c r="G6" s="19" t="str">
        <v/>
      </c>
      <c r="H6" s="19" t="str">
        <v/>
      </c>
      <c r="I6" s="19" t="str">
        <v/>
      </c>
      <c r="J6" s="20" t="str">
        <v/>
      </c>
    </row>
    <row r="7" spans="1:11" x14ac:dyDescent="0.3">
      <c r="A7" s="18" t="str">
        <v>HM: cl2</v>
      </c>
      <c r="B7" s="19" t="str">
        <v/>
      </c>
      <c r="C7" s="19" t="str">
        <v/>
      </c>
      <c r="D7" s="19" t="str">
        <v/>
      </c>
      <c r="E7" s="19" t="str">
        <v/>
      </c>
      <c r="F7" s="19" t="str">
        <v/>
      </c>
      <c r="G7" s="19" t="str">
        <v/>
      </c>
      <c r="H7" s="19" t="str">
        <v/>
      </c>
      <c r="I7" s="19" t="str">
        <v/>
      </c>
      <c r="J7" s="20" t="str">
        <v/>
      </c>
    </row>
    <row r="8" spans="1:11" x14ac:dyDescent="0.3">
      <c r="A8" s="21" t="str">
        <v/>
      </c>
      <c r="B8" s="22" t="str">
        <v/>
      </c>
      <c r="C8" s="22" t="str">
        <v/>
      </c>
      <c r="D8" s="22" t="str">
        <v/>
      </c>
      <c r="E8" s="22" t="str">
        <v/>
      </c>
      <c r="F8" s="22" t="str">
        <v/>
      </c>
      <c r="G8" s="22" t="str">
        <v/>
      </c>
      <c r="H8" s="22" t="str">
        <v/>
      </c>
      <c r="I8" s="22" t="str">
        <v/>
      </c>
      <c r="J8" s="23" t="str">
        <v/>
      </c>
    </row>
    <row r="9" spans="1:11" s="10" customFormat="1" x14ac:dyDescent="0.3">
      <c r="A9" s="24" t="str">
        <v/>
      </c>
      <c r="B9" s="25" t="str">
        <v>2</v>
      </c>
      <c r="C9" s="25" t="str">
        <v>p1</v>
      </c>
      <c r="D9" s="25" t="str">
        <v>o100</v>
      </c>
      <c r="E9" s="25" t="str">
        <v>cl3</v>
      </c>
      <c r="F9" s="25" t="str">
        <v>blue</v>
      </c>
      <c r="G9" s="25" t="str">
        <v>244</v>
      </c>
      <c r="H9" s="25" t="str">
        <v>249</v>
      </c>
      <c r="I9" s="25" t="str">
        <v>(64.90462  ;  -157.4092)</v>
      </c>
      <c r="J9" s="26" t="str">
        <v/>
      </c>
    </row>
    <row r="10" spans="1:11" x14ac:dyDescent="0.3">
      <c r="A10" s="18" t="str">
        <v/>
      </c>
      <c r="B10" s="19" t="str">
        <v/>
      </c>
      <c r="C10" s="19" t="str">
        <v/>
      </c>
      <c r="D10" s="19" t="str">
        <v/>
      </c>
      <c r="E10" s="19" t="str">
        <v>cl2</v>
      </c>
      <c r="F10" s="19" t="str">
        <v/>
      </c>
      <c r="G10" s="19" t="str">
        <v/>
      </c>
      <c r="H10" s="19" t="str">
        <v/>
      </c>
      <c r="I10" s="19" t="str">
        <v/>
      </c>
      <c r="J10" s="20" t="str">
        <v/>
      </c>
    </row>
    <row r="11" spans="1:11" x14ac:dyDescent="0.3">
      <c r="A11" s="18" t="str">
        <v/>
      </c>
      <c r="B11" s="19" t="str">
        <v/>
      </c>
      <c r="C11" s="19" t="str">
        <v>Elev: 50 ft</v>
      </c>
      <c r="D11" s="19" t="str">
        <v>Cnty: c1</v>
      </c>
      <c r="E11" s="19" t="str">
        <v>cm1</v>
      </c>
      <c r="F11" s="19" t="str">
        <v>9078888888</v>
      </c>
      <c r="G11" s="19" t="str">
        <v>Prev. plot: 39</v>
      </c>
      <c r="H11" s="19" t="str">
        <v>Prev. plot: 28</v>
      </c>
      <c r="I11" s="19" t="str">
        <v/>
      </c>
      <c r="J11" s="20" t="str">
        <v/>
      </c>
    </row>
    <row r="12" spans="1:11" x14ac:dyDescent="0.3">
      <c r="A12" s="18" t="str">
        <v/>
      </c>
      <c r="B12" s="19" t="str">
        <v/>
      </c>
      <c r="C12" s="19" t="str">
        <v/>
      </c>
      <c r="D12" s="19" t="str">
        <v/>
      </c>
      <c r="E12" s="19" t="str">
        <v/>
      </c>
      <c r="F12" s="19" t="str">
        <v/>
      </c>
      <c r="G12" s="19" t="str">
        <v/>
      </c>
      <c r="H12" s="19" t="str">
        <v/>
      </c>
      <c r="I12" s="19" t="str">
        <v/>
      </c>
      <c r="J12" s="20" t="str">
        <v/>
      </c>
    </row>
    <row r="13" spans="1:11" x14ac:dyDescent="0.3">
      <c r="A13" s="18" t="str">
        <v/>
      </c>
      <c r="B13" s="19" t="str">
        <v/>
      </c>
      <c r="C13" s="19" t="str">
        <v/>
      </c>
      <c r="D13" s="19" t="str">
        <v/>
      </c>
      <c r="E13" s="19" t="str">
        <v/>
      </c>
      <c r="F13" s="19" t="str">
        <v/>
      </c>
      <c r="G13" s="27" t="str">
        <v/>
      </c>
      <c r="H13" s="19" t="str">
        <v/>
      </c>
      <c r="I13" s="19" t="str">
        <v/>
      </c>
      <c r="J13" s="20" t="str">
        <v/>
      </c>
    </row>
    <row r="14" spans="1:11" s="10" customFormat="1" x14ac:dyDescent="0.3">
      <c r="A14" s="28" t="str">
        <v>2</v>
      </c>
      <c r="B14" s="16" t="str">
        <v>1</v>
      </c>
      <c r="C14" s="16" t="str">
        <v>p3</v>
      </c>
      <c r="D14" s="16" t="str">
        <v>o102</v>
      </c>
      <c r="E14" s="16" t="str">
        <v>cl3</v>
      </c>
      <c r="F14" s="16" t="str">
        <v>red</v>
      </c>
      <c r="G14" s="16" t="str">
        <v>275</v>
      </c>
      <c r="H14" s="16" t="str">
        <v>240</v>
      </c>
      <c r="I14" s="16" t="str">
        <v>(64.15926  ;  -157.554)</v>
      </c>
      <c r="J14" s="17" t="str">
        <v>notes</v>
      </c>
    </row>
    <row r="15" spans="1:11" x14ac:dyDescent="0.3">
      <c r="A15" s="18" t="str">
        <v/>
      </c>
      <c r="B15" s="19" t="str">
        <v/>
      </c>
      <c r="C15" s="19" t="str">
        <v/>
      </c>
      <c r="D15" s="19" t="str">
        <v/>
      </c>
      <c r="E15" s="19" t="str">
        <v/>
      </c>
      <c r="F15" s="19" t="str">
        <v/>
      </c>
      <c r="G15" s="19" t="str">
        <v/>
      </c>
      <c r="H15" s="19" t="str">
        <v/>
      </c>
      <c r="I15" s="19" t="str">
        <v/>
      </c>
      <c r="J15" s="20" t="str">
        <v/>
      </c>
    </row>
    <row r="16" spans="1:11" x14ac:dyDescent="0.3">
      <c r="A16" s="18" t="str">
        <v>Pilot: p3</v>
      </c>
      <c r="B16" s="19" t="str">
        <v/>
      </c>
      <c r="C16" s="19" t="str">
        <v>Elev: 50 ft</v>
      </c>
      <c r="D16" s="19" t="str">
        <v>Cnty: c3</v>
      </c>
      <c r="E16" s="19" t="str">
        <v>cm1</v>
      </c>
      <c r="F16" s="19" t="str">
        <v>907-699-9999</v>
      </c>
      <c r="G16" s="19" t="str">
        <v/>
      </c>
      <c r="H16" s="19" t="str">
        <v/>
      </c>
      <c r="I16" s="19" t="str">
        <v/>
      </c>
      <c r="J16" s="20" t="str">
        <v/>
      </c>
    </row>
    <row r="17" spans="1:10" x14ac:dyDescent="0.3">
      <c r="A17" s="18" t="str">
        <v>HM: cl2</v>
      </c>
      <c r="B17" s="19" t="str">
        <v/>
      </c>
      <c r="C17" s="19" t="str">
        <v/>
      </c>
      <c r="D17" s="19" t="str">
        <v/>
      </c>
      <c r="E17" s="19" t="str">
        <v/>
      </c>
      <c r="F17" s="19" t="str">
        <v/>
      </c>
      <c r="G17" s="19" t="str">
        <v/>
      </c>
      <c r="H17" s="19" t="str">
        <v/>
      </c>
      <c r="I17" s="19" t="str">
        <v/>
      </c>
      <c r="J17" s="20" t="str">
        <v/>
      </c>
    </row>
    <row r="18" spans="1:10" x14ac:dyDescent="0.3">
      <c r="A18" s="21" t="str">
        <v/>
      </c>
      <c r="B18" s="22" t="str">
        <v/>
      </c>
      <c r="C18" s="22" t="str">
        <v/>
      </c>
      <c r="D18" s="22" t="str">
        <v/>
      </c>
      <c r="E18" s="22" t="str">
        <v/>
      </c>
      <c r="F18" s="22" t="str">
        <v/>
      </c>
      <c r="G18" s="22" t="str">
        <v/>
      </c>
      <c r="H18" s="22" t="str">
        <v/>
      </c>
      <c r="I18" s="22" t="str">
        <v/>
      </c>
      <c r="J18" s="23" t="str">
        <v/>
      </c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workbookViewId="0">
      <selection activeCell="F28" sqref="F28"/>
    </sheetView>
  </sheetViews>
  <sheetFormatPr defaultRowHeight="14.4" x14ac:dyDescent="0.3"/>
  <cols>
    <col min="1" max="1" width="28.44140625" style="30" bestFit="1" customWidth="1"/>
    <col min="2" max="2" width="26.33203125" style="30" bestFit="1" customWidth="1"/>
    <col min="3" max="3" width="11" style="30" bestFit="1" customWidth="1"/>
    <col min="4" max="16384" width="8.88671875" style="30"/>
  </cols>
  <sheetData>
    <row r="1" spans="1:3" ht="19.8" x14ac:dyDescent="0.3">
      <c r="A1" s="115" t="str">
        <f>_xlfn.CONCAT("Manifest for ",TEXT(Flight_inventory!A2,"mm/dd/yyy"))</f>
        <v>Manifest for 07/04/2026</v>
      </c>
      <c r="B1" s="115"/>
      <c r="C1" s="115"/>
    </row>
    <row r="3" spans="1:3" s="53" customFormat="1" ht="18.600000000000001" thickBot="1" x14ac:dyDescent="0.35">
      <c r="A3" s="52" t="str" cm="1">
        <f t="array" ref="A3:C28">_xlfn._xlws.PY(1,0,Flight_inventory!A1:Q51,List_gears!A1:D41,List_crew_leaders!A1:B31,List_crew_members!A1:B31)</f>
        <v>Flight 1 with 2 drop-off(s)</v>
      </c>
      <c r="B3" s="53" t="str">
        <v/>
      </c>
      <c r="C3" s="53" t="str">
        <v/>
      </c>
    </row>
    <row r="4" spans="1:3" s="57" customFormat="1" x14ac:dyDescent="0.3">
      <c r="A4" s="54" t="str">
        <v>Names</v>
      </c>
      <c r="B4" s="55" t="str">
        <v>Description</v>
      </c>
      <c r="C4" s="56" t="str">
        <v>Weight (lbs)</v>
      </c>
    </row>
    <row r="5" spans="1:3" x14ac:dyDescent="0.3">
      <c r="A5" s="58" t="str">
        <v>cl2</v>
      </c>
      <c r="B5" s="59" t="str">
        <v>Helo manager</v>
      </c>
      <c r="C5" s="60" t="str">
        <v>200.0</v>
      </c>
    </row>
    <row r="6" spans="1:3" x14ac:dyDescent="0.3">
      <c r="A6" s="61" t="str">
        <v>cm1</v>
      </c>
      <c r="B6" s="30" t="str">
        <v/>
      </c>
      <c r="C6" s="62" t="str">
        <v>200.0</v>
      </c>
    </row>
    <row r="7" spans="1:3" x14ac:dyDescent="0.3">
      <c r="A7" s="61" t="str">
        <v>cm2</v>
      </c>
      <c r="B7" s="30" t="str">
        <v/>
      </c>
      <c r="C7" s="62" t="str">
        <v>250.0</v>
      </c>
    </row>
    <row r="8" spans="1:3" x14ac:dyDescent="0.3">
      <c r="A8" s="61" t="str">
        <v>cl3</v>
      </c>
      <c r="B8" s="30" t="str">
        <v/>
      </c>
      <c r="C8" s="62" t="str">
        <v>130.0</v>
      </c>
    </row>
    <row r="9" spans="1:3" x14ac:dyDescent="0.3">
      <c r="A9" s="61" t="str">
        <v/>
      </c>
      <c r="B9" s="30" t="str">
        <v/>
      </c>
      <c r="C9" s="62" t="str">
        <v/>
      </c>
    </row>
    <row r="10" spans="1:3" x14ac:dyDescent="0.3">
      <c r="A10" s="61" t="str">
        <v>Gears</v>
      </c>
      <c r="B10" s="30" t="str">
        <v>standard gear list + extra weight</v>
      </c>
      <c r="C10" s="62" t="str">
        <v>2220.0</v>
      </c>
    </row>
    <row r="11" spans="1:3" x14ac:dyDescent="0.3">
      <c r="A11" s="61" t="str">
        <v/>
      </c>
      <c r="B11" s="30" t="str">
        <v/>
      </c>
      <c r="C11" s="62" t="str">
        <v/>
      </c>
    </row>
    <row r="12" spans="1:3" x14ac:dyDescent="0.3">
      <c r="A12" s="63" t="str">
        <v/>
      </c>
      <c r="B12" s="64" t="str">
        <v/>
      </c>
      <c r="C12" s="65" t="str">
        <v/>
      </c>
    </row>
    <row r="13" spans="1:3" s="57" customFormat="1" ht="15" thickBot="1" x14ac:dyDescent="0.35">
      <c r="A13" s="66" t="str">
        <v>Flight 1 team load</v>
      </c>
      <c r="B13" s="67" t="str">
        <v/>
      </c>
      <c r="C13" s="68" t="str">
        <v>3000.0</v>
      </c>
    </row>
    <row r="14" spans="1:3" s="69" customFormat="1" x14ac:dyDescent="0.3">
      <c r="A14" s="69" t="str">
        <v>Hazardous materials:</v>
      </c>
      <c r="B14" s="69" t="str">
        <v>bear spray</v>
      </c>
      <c r="C14" s="69" t="str">
        <v/>
      </c>
    </row>
    <row r="15" spans="1:3" x14ac:dyDescent="0.3">
      <c r="A15" s="30" t="str">
        <v/>
      </c>
      <c r="B15" s="30" t="str">
        <v/>
      </c>
      <c r="C15" s="30" t="str">
        <v/>
      </c>
    </row>
    <row r="16" spans="1:3" s="53" customFormat="1" ht="18.600000000000001" thickBot="1" x14ac:dyDescent="0.35">
      <c r="A16" s="53" t="str">
        <v>Flight 2 with 1 drop-off(s)</v>
      </c>
      <c r="B16" s="53" t="str">
        <v/>
      </c>
      <c r="C16" s="53" t="str">
        <v/>
      </c>
    </row>
    <row r="17" spans="1:3" s="57" customFormat="1" x14ac:dyDescent="0.3">
      <c r="A17" s="54" t="str">
        <v>Names</v>
      </c>
      <c r="B17" s="55" t="str">
        <v>Description</v>
      </c>
      <c r="C17" s="56" t="str">
        <v>Weight (lbs)</v>
      </c>
    </row>
    <row r="18" spans="1:3" x14ac:dyDescent="0.3">
      <c r="A18" s="58" t="str">
        <v>cl3</v>
      </c>
      <c r="B18" s="59" t="str">
        <v/>
      </c>
      <c r="C18" s="60" t="str">
        <v>130.0</v>
      </c>
    </row>
    <row r="19" spans="1:3" x14ac:dyDescent="0.3">
      <c r="A19" s="61" t="str">
        <v>cm1</v>
      </c>
      <c r="B19" s="30" t="str">
        <v/>
      </c>
      <c r="C19" s="62" t="str">
        <v>200.0</v>
      </c>
    </row>
    <row r="20" spans="1:3" x14ac:dyDescent="0.3">
      <c r="A20" s="61" t="str">
        <v/>
      </c>
      <c r="B20" s="30" t="str">
        <v/>
      </c>
      <c r="C20" s="62" t="str">
        <v/>
      </c>
    </row>
    <row r="21" spans="1:3" x14ac:dyDescent="0.3">
      <c r="A21" s="61" t="str">
        <v>Gears</v>
      </c>
      <c r="B21" s="30" t="str">
        <v>standard gear list + extra weight</v>
      </c>
      <c r="C21" s="62" t="str">
        <v>1120.0</v>
      </c>
    </row>
    <row r="22" spans="1:3" x14ac:dyDescent="0.3">
      <c r="A22" s="61" t="str">
        <v/>
      </c>
      <c r="B22" s="30" t="str">
        <v/>
      </c>
      <c r="C22" s="62" t="str">
        <v/>
      </c>
    </row>
    <row r="23" spans="1:3" x14ac:dyDescent="0.3">
      <c r="A23" s="61" t="str">
        <v/>
      </c>
      <c r="B23" s="30" t="str">
        <v/>
      </c>
      <c r="C23" s="62" t="str">
        <v/>
      </c>
    </row>
    <row r="24" spans="1:3" x14ac:dyDescent="0.3">
      <c r="A24" s="61" t="str">
        <v/>
      </c>
      <c r="B24" s="30" t="str">
        <v/>
      </c>
      <c r="C24" s="62" t="str">
        <v/>
      </c>
    </row>
    <row r="25" spans="1:3" x14ac:dyDescent="0.3">
      <c r="A25" s="63" t="str">
        <v/>
      </c>
      <c r="B25" s="64" t="str">
        <v/>
      </c>
      <c r="C25" s="65" t="str">
        <v/>
      </c>
    </row>
    <row r="26" spans="1:3" s="57" customFormat="1" ht="15" thickBot="1" x14ac:dyDescent="0.35">
      <c r="A26" s="66" t="str">
        <v>Flight 2 team load</v>
      </c>
      <c r="B26" s="67" t="str">
        <v/>
      </c>
      <c r="C26" s="68" t="str">
        <v>1450.0</v>
      </c>
    </row>
    <row r="27" spans="1:3" s="69" customFormat="1" x14ac:dyDescent="0.3">
      <c r="A27" s="69" t="str">
        <v>Hazardous materials:</v>
      </c>
      <c r="B27" s="69" t="str">
        <v/>
      </c>
      <c r="C27" s="69" t="str">
        <v/>
      </c>
    </row>
    <row r="28" spans="1:3" x14ac:dyDescent="0.3">
      <c r="A28" s="30" t="str">
        <v/>
      </c>
      <c r="B28" s="30" t="str">
        <v/>
      </c>
      <c r="C28" s="30" t="str">
        <v/>
      </c>
    </row>
    <row r="29" spans="1:3" s="53" customFormat="1" ht="18.600000000000001" thickBot="1" x14ac:dyDescent="0.35"/>
    <row r="30" spans="1:3" s="57" customFormat="1" x14ac:dyDescent="0.3">
      <c r="A30" s="54"/>
      <c r="B30" s="55"/>
      <c r="C30" s="56"/>
    </row>
    <row r="31" spans="1:3" x14ac:dyDescent="0.3">
      <c r="A31" s="58"/>
      <c r="B31" s="59"/>
      <c r="C31" s="60"/>
    </row>
    <row r="32" spans="1:3" x14ac:dyDescent="0.3">
      <c r="A32" s="61"/>
      <c r="C32" s="62"/>
    </row>
    <row r="33" spans="1:3" x14ac:dyDescent="0.3">
      <c r="A33" s="61"/>
      <c r="C33" s="62"/>
    </row>
    <row r="34" spans="1:3" x14ac:dyDescent="0.3">
      <c r="A34" s="61"/>
      <c r="C34" s="62"/>
    </row>
    <row r="35" spans="1:3" x14ac:dyDescent="0.3">
      <c r="A35" s="61"/>
      <c r="C35" s="62"/>
    </row>
    <row r="36" spans="1:3" x14ac:dyDescent="0.3">
      <c r="A36" s="61"/>
      <c r="C36" s="62"/>
    </row>
    <row r="37" spans="1:3" x14ac:dyDescent="0.3">
      <c r="A37" s="61"/>
      <c r="C37" s="62"/>
    </row>
    <row r="38" spans="1:3" x14ac:dyDescent="0.3">
      <c r="A38" s="63"/>
      <c r="B38" s="64"/>
      <c r="C38" s="65"/>
    </row>
    <row r="39" spans="1:3" s="57" customFormat="1" ht="15" thickBot="1" x14ac:dyDescent="0.35">
      <c r="A39" s="66"/>
      <c r="B39" s="67"/>
      <c r="C39" s="68"/>
    </row>
    <row r="40" spans="1:3" s="69" customFormat="1" x14ac:dyDescent="0.3"/>
    <row r="42" spans="1:3" s="53" customFormat="1" ht="18.600000000000001" thickBot="1" x14ac:dyDescent="0.35"/>
    <row r="43" spans="1:3" s="57" customFormat="1" x14ac:dyDescent="0.3">
      <c r="A43" s="54"/>
      <c r="B43" s="55"/>
      <c r="C43" s="56"/>
    </row>
    <row r="44" spans="1:3" x14ac:dyDescent="0.3">
      <c r="A44" s="58"/>
      <c r="B44" s="59"/>
      <c r="C44" s="60"/>
    </row>
    <row r="45" spans="1:3" x14ac:dyDescent="0.3">
      <c r="A45" s="61"/>
      <c r="C45" s="62"/>
    </row>
    <row r="46" spans="1:3" x14ac:dyDescent="0.3">
      <c r="A46" s="61"/>
      <c r="C46" s="62"/>
    </row>
    <row r="47" spans="1:3" x14ac:dyDescent="0.3">
      <c r="A47" s="61"/>
      <c r="C47" s="62"/>
    </row>
    <row r="48" spans="1:3" x14ac:dyDescent="0.3">
      <c r="A48" s="61"/>
      <c r="C48" s="62"/>
    </row>
    <row r="49" spans="1:3" x14ac:dyDescent="0.3">
      <c r="A49" s="61"/>
      <c r="C49" s="62"/>
    </row>
    <row r="50" spans="1:3" x14ac:dyDescent="0.3">
      <c r="A50" s="61"/>
      <c r="C50" s="62"/>
    </row>
    <row r="51" spans="1:3" x14ac:dyDescent="0.3">
      <c r="A51" s="63"/>
      <c r="B51" s="64"/>
      <c r="C51" s="65"/>
    </row>
    <row r="52" spans="1:3" s="57" customFormat="1" ht="15" thickBot="1" x14ac:dyDescent="0.35">
      <c r="A52" s="66"/>
      <c r="B52" s="67"/>
      <c r="C52" s="68"/>
    </row>
    <row r="53" spans="1:3" s="69" customFormat="1" x14ac:dyDescent="0.3"/>
    <row r="55" spans="1:3" s="53" customFormat="1" ht="18.600000000000001" thickBot="1" x14ac:dyDescent="0.35"/>
    <row r="56" spans="1:3" s="57" customFormat="1" x14ac:dyDescent="0.3">
      <c r="A56" s="54"/>
      <c r="B56" s="55"/>
      <c r="C56" s="56"/>
    </row>
    <row r="57" spans="1:3" x14ac:dyDescent="0.3">
      <c r="A57" s="58"/>
      <c r="B57" s="59"/>
      <c r="C57" s="60"/>
    </row>
    <row r="58" spans="1:3" x14ac:dyDescent="0.3">
      <c r="A58" s="61"/>
      <c r="C58" s="62"/>
    </row>
    <row r="59" spans="1:3" x14ac:dyDescent="0.3">
      <c r="A59" s="61"/>
      <c r="C59" s="62"/>
    </row>
    <row r="60" spans="1:3" x14ac:dyDescent="0.3">
      <c r="A60" s="61"/>
      <c r="C60" s="62"/>
    </row>
    <row r="61" spans="1:3" x14ac:dyDescent="0.3">
      <c r="A61" s="61"/>
      <c r="C61" s="62"/>
    </row>
    <row r="62" spans="1:3" x14ac:dyDescent="0.3">
      <c r="A62" s="61"/>
      <c r="C62" s="62"/>
    </row>
    <row r="63" spans="1:3" x14ac:dyDescent="0.3">
      <c r="A63" s="61"/>
      <c r="C63" s="62"/>
    </row>
    <row r="64" spans="1:3" x14ac:dyDescent="0.3">
      <c r="A64" s="63"/>
      <c r="B64" s="64"/>
      <c r="C64" s="65"/>
    </row>
    <row r="65" spans="1:3" s="57" customFormat="1" ht="15" thickBot="1" x14ac:dyDescent="0.35">
      <c r="A65" s="66"/>
      <c r="B65" s="67"/>
      <c r="C65" s="68"/>
    </row>
    <row r="66" spans="1:3" s="69" customFormat="1" x14ac:dyDescent="0.3"/>
    <row r="68" spans="1:3" ht="18.600000000000001" thickBot="1" x14ac:dyDescent="0.35">
      <c r="A68" s="53"/>
      <c r="B68" s="53"/>
      <c r="C68" s="53"/>
    </row>
    <row r="69" spans="1:3" x14ac:dyDescent="0.3">
      <c r="A69" s="54"/>
      <c r="B69" s="55"/>
      <c r="C69" s="56"/>
    </row>
    <row r="70" spans="1:3" x14ac:dyDescent="0.3">
      <c r="A70" s="58"/>
      <c r="B70" s="59"/>
      <c r="C70" s="60"/>
    </row>
    <row r="71" spans="1:3" x14ac:dyDescent="0.3">
      <c r="A71" s="61"/>
      <c r="C71" s="62"/>
    </row>
    <row r="72" spans="1:3" x14ac:dyDescent="0.3">
      <c r="A72" s="61"/>
      <c r="C72" s="62"/>
    </row>
    <row r="73" spans="1:3" x14ac:dyDescent="0.3">
      <c r="A73" s="61"/>
      <c r="C73" s="62"/>
    </row>
    <row r="74" spans="1:3" x14ac:dyDescent="0.3">
      <c r="A74" s="61"/>
      <c r="C74" s="62"/>
    </row>
    <row r="75" spans="1:3" x14ac:dyDescent="0.3">
      <c r="A75" s="61"/>
      <c r="C75" s="62"/>
    </row>
    <row r="76" spans="1:3" x14ac:dyDescent="0.3">
      <c r="A76" s="61"/>
      <c r="C76" s="62"/>
    </row>
    <row r="77" spans="1:3" x14ac:dyDescent="0.3">
      <c r="A77" s="63"/>
      <c r="B77" s="64"/>
      <c r="C77" s="65"/>
    </row>
    <row r="78" spans="1:3" ht="15" thickBot="1" x14ac:dyDescent="0.35">
      <c r="A78" s="66"/>
      <c r="B78" s="67"/>
      <c r="C78" s="68"/>
    </row>
    <row r="79" spans="1:3" x14ac:dyDescent="0.3">
      <c r="A79" s="69"/>
      <c r="B79" s="69"/>
      <c r="C79" s="69"/>
    </row>
    <row r="81" spans="1:3" ht="18.600000000000001" thickBot="1" x14ac:dyDescent="0.35">
      <c r="A81" s="53"/>
      <c r="B81" s="53"/>
      <c r="C81" s="53"/>
    </row>
    <row r="82" spans="1:3" x14ac:dyDescent="0.3">
      <c r="A82" s="54"/>
      <c r="B82" s="55"/>
      <c r="C82" s="56"/>
    </row>
    <row r="83" spans="1:3" x14ac:dyDescent="0.3">
      <c r="A83" s="58"/>
      <c r="B83" s="59"/>
      <c r="C83" s="60"/>
    </row>
    <row r="84" spans="1:3" x14ac:dyDescent="0.3">
      <c r="A84" s="61"/>
      <c r="C84" s="62"/>
    </row>
    <row r="85" spans="1:3" x14ac:dyDescent="0.3">
      <c r="A85" s="61"/>
      <c r="C85" s="62"/>
    </row>
    <row r="86" spans="1:3" x14ac:dyDescent="0.3">
      <c r="A86" s="61"/>
      <c r="C86" s="62"/>
    </row>
    <row r="87" spans="1:3" x14ac:dyDescent="0.3">
      <c r="A87" s="61"/>
      <c r="C87" s="62"/>
    </row>
    <row r="88" spans="1:3" x14ac:dyDescent="0.3">
      <c r="A88" s="61"/>
      <c r="C88" s="62"/>
    </row>
    <row r="89" spans="1:3" x14ac:dyDescent="0.3">
      <c r="A89" s="61"/>
      <c r="C89" s="62"/>
    </row>
    <row r="90" spans="1:3" x14ac:dyDescent="0.3">
      <c r="A90" s="63"/>
      <c r="B90" s="64"/>
      <c r="C90" s="65"/>
    </row>
    <row r="91" spans="1:3" ht="15" thickBot="1" x14ac:dyDescent="0.35">
      <c r="A91" s="66"/>
      <c r="B91" s="67"/>
      <c r="C91" s="68"/>
    </row>
    <row r="92" spans="1:3" x14ac:dyDescent="0.3">
      <c r="A92" s="69"/>
      <c r="B92" s="69"/>
      <c r="C92" s="69"/>
    </row>
    <row r="94" spans="1:3" ht="18.600000000000001" thickBot="1" x14ac:dyDescent="0.35">
      <c r="A94" s="53"/>
      <c r="B94" s="53"/>
      <c r="C94" s="53"/>
    </row>
    <row r="95" spans="1:3" x14ac:dyDescent="0.3">
      <c r="A95" s="54"/>
      <c r="B95" s="55"/>
      <c r="C95" s="56"/>
    </row>
    <row r="96" spans="1:3" x14ac:dyDescent="0.3">
      <c r="A96" s="58"/>
      <c r="B96" s="59"/>
      <c r="C96" s="60"/>
    </row>
    <row r="97" spans="1:3" x14ac:dyDescent="0.3">
      <c r="A97" s="61"/>
      <c r="C97" s="62"/>
    </row>
    <row r="98" spans="1:3" x14ac:dyDescent="0.3">
      <c r="A98" s="61"/>
      <c r="C98" s="62"/>
    </row>
    <row r="99" spans="1:3" x14ac:dyDescent="0.3">
      <c r="A99" s="61"/>
      <c r="C99" s="62"/>
    </row>
    <row r="100" spans="1:3" x14ac:dyDescent="0.3">
      <c r="A100" s="61"/>
      <c r="C100" s="62"/>
    </row>
    <row r="101" spans="1:3" x14ac:dyDescent="0.3">
      <c r="A101" s="61"/>
      <c r="C101" s="62"/>
    </row>
    <row r="102" spans="1:3" x14ac:dyDescent="0.3">
      <c r="A102" s="61"/>
      <c r="C102" s="62"/>
    </row>
    <row r="103" spans="1:3" x14ac:dyDescent="0.3">
      <c r="A103" s="63"/>
      <c r="B103" s="64"/>
      <c r="C103" s="65"/>
    </row>
    <row r="104" spans="1:3" ht="15" thickBot="1" x14ac:dyDescent="0.35">
      <c r="A104" s="66"/>
      <c r="B104" s="67"/>
      <c r="C104" s="68"/>
    </row>
    <row r="105" spans="1:3" x14ac:dyDescent="0.3">
      <c r="A105" s="69"/>
      <c r="B105" s="69"/>
      <c r="C105" s="69"/>
    </row>
    <row r="107" spans="1:3" ht="18.600000000000001" thickBot="1" x14ac:dyDescent="0.35">
      <c r="A107" s="53"/>
      <c r="B107" s="53"/>
      <c r="C107" s="53"/>
    </row>
    <row r="108" spans="1:3" x14ac:dyDescent="0.3">
      <c r="A108" s="54"/>
      <c r="B108" s="55"/>
      <c r="C108" s="56"/>
    </row>
    <row r="109" spans="1:3" x14ac:dyDescent="0.3">
      <c r="A109" s="58"/>
      <c r="B109" s="59"/>
      <c r="C109" s="60"/>
    </row>
    <row r="110" spans="1:3" x14ac:dyDescent="0.3">
      <c r="A110" s="61"/>
      <c r="C110" s="62"/>
    </row>
    <row r="111" spans="1:3" x14ac:dyDescent="0.3">
      <c r="A111" s="61"/>
      <c r="C111" s="62"/>
    </row>
    <row r="112" spans="1:3" x14ac:dyDescent="0.3">
      <c r="A112" s="61"/>
      <c r="C112" s="62"/>
    </row>
    <row r="113" spans="1:3" x14ac:dyDescent="0.3">
      <c r="A113" s="61"/>
      <c r="C113" s="62"/>
    </row>
    <row r="114" spans="1:3" x14ac:dyDescent="0.3">
      <c r="A114" s="61"/>
      <c r="C114" s="62"/>
    </row>
    <row r="115" spans="1:3" x14ac:dyDescent="0.3">
      <c r="A115" s="61"/>
      <c r="C115" s="62"/>
    </row>
    <row r="116" spans="1:3" x14ac:dyDescent="0.3">
      <c r="A116" s="63"/>
      <c r="B116" s="64"/>
      <c r="C116" s="65"/>
    </row>
    <row r="117" spans="1:3" ht="15" thickBot="1" x14ac:dyDescent="0.35">
      <c r="A117" s="66"/>
      <c r="B117" s="67"/>
      <c r="C117" s="68"/>
    </row>
    <row r="118" spans="1:3" x14ac:dyDescent="0.3">
      <c r="A118" s="69"/>
      <c r="B118" s="69"/>
      <c r="C118" s="69"/>
    </row>
    <row r="120" spans="1:3" ht="18.600000000000001" thickBot="1" x14ac:dyDescent="0.35">
      <c r="A120" s="53"/>
      <c r="B120" s="53"/>
      <c r="C120" s="53"/>
    </row>
    <row r="121" spans="1:3" x14ac:dyDescent="0.3">
      <c r="A121" s="54"/>
      <c r="B121" s="55"/>
      <c r="C121" s="56"/>
    </row>
    <row r="122" spans="1:3" x14ac:dyDescent="0.3">
      <c r="A122" s="58"/>
      <c r="B122" s="59"/>
      <c r="C122" s="60"/>
    </row>
    <row r="123" spans="1:3" x14ac:dyDescent="0.3">
      <c r="A123" s="61"/>
      <c r="C123" s="62"/>
    </row>
    <row r="124" spans="1:3" x14ac:dyDescent="0.3">
      <c r="A124" s="61"/>
      <c r="C124" s="62"/>
    </row>
    <row r="125" spans="1:3" x14ac:dyDescent="0.3">
      <c r="A125" s="61"/>
      <c r="C125" s="62"/>
    </row>
    <row r="126" spans="1:3" x14ac:dyDescent="0.3">
      <c r="A126" s="61"/>
      <c r="C126" s="62"/>
    </row>
    <row r="127" spans="1:3" x14ac:dyDescent="0.3">
      <c r="A127" s="61"/>
      <c r="C127" s="62"/>
    </row>
    <row r="128" spans="1:3" x14ac:dyDescent="0.3">
      <c r="A128" s="61"/>
      <c r="C128" s="62"/>
    </row>
    <row r="129" spans="1:3" x14ac:dyDescent="0.3">
      <c r="A129" s="63"/>
      <c r="B129" s="64"/>
      <c r="C129" s="65"/>
    </row>
    <row r="130" spans="1:3" ht="15" thickBot="1" x14ac:dyDescent="0.35">
      <c r="A130" s="66"/>
      <c r="B130" s="67"/>
      <c r="C130" s="68"/>
    </row>
    <row r="131" spans="1:3" x14ac:dyDescent="0.3">
      <c r="A131" s="69"/>
      <c r="B131" s="69"/>
      <c r="C131" s="69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N301"/>
  <sheetViews>
    <sheetView workbookViewId="0">
      <selection activeCell="G17" sqref="G17"/>
    </sheetView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8.21875" bestFit="1" customWidth="1"/>
    <col min="6" max="6" width="34.5546875" bestFit="1" customWidth="1"/>
    <col min="7" max="7" width="36.109375" bestFit="1" customWidth="1"/>
    <col min="8" max="8" width="9.109375" bestFit="1" customWidth="1"/>
    <col min="9" max="9" width="5.6640625" bestFit="1" customWidth="1"/>
    <col min="10" max="10" width="6.6640625" bestFit="1" customWidth="1"/>
    <col min="11" max="11" width="10.21875" bestFit="1" customWidth="1"/>
    <col min="12" max="12" width="20.77734375" bestFit="1" customWidth="1"/>
    <col min="13" max="13" width="11.21875" bestFit="1" customWidth="1"/>
    <col min="14" max="14" width="14.33203125" bestFit="1" customWidth="1"/>
  </cols>
  <sheetData>
    <row r="1" spans="1:14" x14ac:dyDescent="0.3">
      <c r="A1" s="95" t="s">
        <v>14</v>
      </c>
      <c r="B1" s="95" t="s">
        <v>34</v>
      </c>
      <c r="C1" s="95" t="s">
        <v>16</v>
      </c>
      <c r="D1" s="95" t="s">
        <v>17</v>
      </c>
      <c r="E1" s="95" t="s">
        <v>18</v>
      </c>
      <c r="F1" s="95" t="s">
        <v>19</v>
      </c>
      <c r="G1" s="95" t="s">
        <v>20</v>
      </c>
      <c r="H1" s="95" t="s">
        <v>35</v>
      </c>
      <c r="I1" s="95" t="s">
        <v>21</v>
      </c>
      <c r="J1" s="95" t="s">
        <v>22</v>
      </c>
      <c r="K1" s="95" t="s">
        <v>26</v>
      </c>
      <c r="L1" s="95" t="s">
        <v>27</v>
      </c>
      <c r="M1" s="95" t="s">
        <v>25</v>
      </c>
      <c r="N1" s="95" t="s">
        <v>24</v>
      </c>
    </row>
    <row r="2" spans="1:14" s="71" customFormat="1" x14ac:dyDescent="0.3">
      <c r="A2" s="70" t="s">
        <v>67</v>
      </c>
      <c r="B2" s="70" t="s">
        <v>55</v>
      </c>
      <c r="C2" s="70" t="s">
        <v>56</v>
      </c>
      <c r="D2" s="70">
        <v>64.904619999999994</v>
      </c>
      <c r="E2" s="70">
        <v>-157.4092</v>
      </c>
      <c r="F2" s="70"/>
      <c r="G2" s="70"/>
      <c r="H2" s="70">
        <v>50</v>
      </c>
      <c r="I2" s="70">
        <v>0.2</v>
      </c>
      <c r="J2" s="70">
        <v>2</v>
      </c>
      <c r="K2" s="70" t="s">
        <v>57</v>
      </c>
      <c r="L2" s="70" t="s">
        <v>58</v>
      </c>
      <c r="M2" s="70" t="s">
        <v>59</v>
      </c>
      <c r="N2" s="70"/>
    </row>
    <row r="3" spans="1:14" s="71" customFormat="1" x14ac:dyDescent="0.3">
      <c r="A3" s="70" t="s">
        <v>68</v>
      </c>
      <c r="B3" s="70" t="s">
        <v>60</v>
      </c>
      <c r="C3" s="70" t="s">
        <v>61</v>
      </c>
      <c r="D3" s="70">
        <v>64.744560199999995</v>
      </c>
      <c r="E3" s="70">
        <v>-156.13404850000001</v>
      </c>
      <c r="F3" s="70"/>
      <c r="G3" s="70"/>
      <c r="H3" s="70">
        <v>55</v>
      </c>
      <c r="I3" s="70">
        <v>0.4</v>
      </c>
      <c r="J3" s="70">
        <v>4</v>
      </c>
      <c r="K3" s="70" t="s">
        <v>57</v>
      </c>
      <c r="L3" s="70" t="s">
        <v>58</v>
      </c>
      <c r="M3" s="70" t="s">
        <v>59</v>
      </c>
      <c r="N3" s="70"/>
    </row>
    <row r="4" spans="1:14" s="71" customFormat="1" x14ac:dyDescent="0.3">
      <c r="A4" s="70" t="s">
        <v>69</v>
      </c>
      <c r="B4" s="70" t="s">
        <v>62</v>
      </c>
      <c r="C4" s="70" t="s">
        <v>63</v>
      </c>
      <c r="D4" s="70">
        <v>64.159260000000003</v>
      </c>
      <c r="E4" s="70">
        <v>-157.554</v>
      </c>
      <c r="F4" s="70"/>
      <c r="G4" s="70"/>
      <c r="H4" s="70">
        <v>50</v>
      </c>
      <c r="I4" s="70">
        <v>0.6</v>
      </c>
      <c r="J4" s="70">
        <v>6</v>
      </c>
      <c r="K4" s="70" t="s">
        <v>57</v>
      </c>
      <c r="L4" s="70" t="s">
        <v>58</v>
      </c>
      <c r="M4" s="70" t="s">
        <v>59</v>
      </c>
      <c r="N4" s="70"/>
    </row>
    <row r="5" spans="1:14" s="71" customFormat="1" x14ac:dyDescent="0.3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</row>
    <row r="6" spans="1:14" s="71" customFormat="1" x14ac:dyDescent="0.3">
      <c r="A6" s="70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</row>
    <row r="7" spans="1:14" s="71" customFormat="1" x14ac:dyDescent="0.3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s="71" customFormat="1" x14ac:dyDescent="0.3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s="71" customFormat="1" x14ac:dyDescent="0.3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</row>
    <row r="10" spans="1:14" s="71" customFormat="1" x14ac:dyDescent="0.3">
      <c r="A10" s="70"/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</row>
    <row r="11" spans="1:14" s="71" customFormat="1" x14ac:dyDescent="0.3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</row>
    <row r="12" spans="1:14" s="71" customFormat="1" x14ac:dyDescent="0.3">
      <c r="A12" s="70"/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</row>
    <row r="13" spans="1:14" s="71" customFormat="1" x14ac:dyDescent="0.3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</row>
    <row r="14" spans="1:14" s="71" customFormat="1" x14ac:dyDescent="0.3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</row>
    <row r="15" spans="1:14" s="71" customFormat="1" x14ac:dyDescent="0.3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</row>
    <row r="16" spans="1:14" s="71" customFormat="1" x14ac:dyDescent="0.3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</row>
    <row r="17" spans="1:14" s="71" customFormat="1" x14ac:dyDescent="0.3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</row>
    <row r="18" spans="1:14" s="71" customFormat="1" x14ac:dyDescent="0.3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</row>
    <row r="19" spans="1:14" s="71" customFormat="1" x14ac:dyDescent="0.3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</row>
    <row r="20" spans="1:14" s="71" customFormat="1" x14ac:dyDescent="0.3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</row>
    <row r="21" spans="1:14" s="71" customFormat="1" x14ac:dyDescent="0.3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</row>
    <row r="22" spans="1:14" s="71" customFormat="1" x14ac:dyDescent="0.3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</row>
    <row r="23" spans="1:14" s="71" customFormat="1" x14ac:dyDescent="0.3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</row>
    <row r="24" spans="1:14" s="71" customFormat="1" x14ac:dyDescent="0.3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</row>
    <row r="25" spans="1:14" s="71" customFormat="1" x14ac:dyDescent="0.3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</row>
    <row r="26" spans="1:14" s="71" customFormat="1" x14ac:dyDescent="0.3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</row>
    <row r="27" spans="1:14" s="71" customFormat="1" x14ac:dyDescent="0.3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</row>
    <row r="28" spans="1:14" s="71" customFormat="1" x14ac:dyDescent="0.3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</row>
    <row r="29" spans="1:14" s="71" customFormat="1" x14ac:dyDescent="0.3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</row>
    <row r="30" spans="1:14" s="71" customFormat="1" x14ac:dyDescent="0.3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</row>
    <row r="31" spans="1:14" s="71" customFormat="1" x14ac:dyDescent="0.3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</row>
    <row r="32" spans="1:14" s="71" customFormat="1" x14ac:dyDescent="0.3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</row>
    <row r="33" spans="1:14" s="71" customFormat="1" x14ac:dyDescent="0.3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</row>
    <row r="34" spans="1:14" s="71" customFormat="1" x14ac:dyDescent="0.3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</row>
    <row r="35" spans="1:14" s="71" customFormat="1" x14ac:dyDescent="0.3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</row>
    <row r="36" spans="1:14" s="71" customFormat="1" x14ac:dyDescent="0.3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</row>
    <row r="37" spans="1:14" s="71" customFormat="1" x14ac:dyDescent="0.3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</row>
    <row r="38" spans="1:14" s="71" customFormat="1" x14ac:dyDescent="0.3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</row>
    <row r="39" spans="1:14" s="71" customFormat="1" x14ac:dyDescent="0.3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</row>
    <row r="40" spans="1:14" s="71" customFormat="1" x14ac:dyDescent="0.3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</row>
    <row r="41" spans="1:14" s="71" customFormat="1" x14ac:dyDescent="0.3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</row>
    <row r="42" spans="1:14" s="71" customFormat="1" x14ac:dyDescent="0.3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</row>
    <row r="43" spans="1:14" s="71" customFormat="1" x14ac:dyDescent="0.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</row>
    <row r="44" spans="1:14" s="71" customFormat="1" x14ac:dyDescent="0.3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</row>
    <row r="45" spans="1:14" s="71" customFormat="1" x14ac:dyDescent="0.3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</row>
    <row r="46" spans="1:14" s="71" customFormat="1" x14ac:dyDescent="0.3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</row>
    <row r="47" spans="1:14" s="71" customFormat="1" x14ac:dyDescent="0.3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</row>
    <row r="48" spans="1:14" s="71" customFormat="1" x14ac:dyDescent="0.3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</row>
    <row r="49" spans="1:14" s="71" customFormat="1" x14ac:dyDescent="0.3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</row>
    <row r="50" spans="1:14" s="71" customFormat="1" x14ac:dyDescent="0.3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</row>
    <row r="51" spans="1:14" s="71" customFormat="1" x14ac:dyDescent="0.3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</row>
    <row r="52" spans="1:14" s="71" customFormat="1" x14ac:dyDescent="0.3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</row>
    <row r="53" spans="1:14" s="71" customFormat="1" x14ac:dyDescent="0.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</row>
    <row r="54" spans="1:14" s="71" customFormat="1" x14ac:dyDescent="0.3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</row>
    <row r="55" spans="1:14" s="71" customFormat="1" x14ac:dyDescent="0.3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</row>
    <row r="56" spans="1:14" s="71" customFormat="1" x14ac:dyDescent="0.3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4" s="71" customFormat="1" x14ac:dyDescent="0.3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</row>
    <row r="58" spans="1:14" s="71" customFormat="1" x14ac:dyDescent="0.3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</row>
    <row r="59" spans="1:14" s="71" customFormat="1" x14ac:dyDescent="0.3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</row>
    <row r="60" spans="1:14" s="71" customFormat="1" x14ac:dyDescent="0.3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</row>
    <row r="61" spans="1:14" s="71" customFormat="1" x14ac:dyDescent="0.3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</row>
    <row r="62" spans="1:14" s="71" customFormat="1" x14ac:dyDescent="0.3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</row>
    <row r="63" spans="1:14" s="71" customFormat="1" x14ac:dyDescent="0.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</row>
    <row r="64" spans="1:14" s="71" customFormat="1" x14ac:dyDescent="0.3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</row>
    <row r="65" spans="1:14" s="71" customFormat="1" x14ac:dyDescent="0.3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</row>
    <row r="66" spans="1:14" s="71" customFormat="1" x14ac:dyDescent="0.3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</row>
    <row r="67" spans="1:14" s="71" customFormat="1" x14ac:dyDescent="0.3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</row>
    <row r="68" spans="1:14" s="71" customFormat="1" x14ac:dyDescent="0.3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</row>
    <row r="69" spans="1:14" s="71" customFormat="1" x14ac:dyDescent="0.3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</row>
    <row r="70" spans="1:14" s="71" customFormat="1" x14ac:dyDescent="0.3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</row>
    <row r="71" spans="1:14" s="71" customFormat="1" x14ac:dyDescent="0.3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</row>
    <row r="72" spans="1:14" s="71" customFormat="1" x14ac:dyDescent="0.3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</row>
    <row r="73" spans="1:14" s="71" customFormat="1" x14ac:dyDescent="0.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</row>
    <row r="74" spans="1:14" s="71" customFormat="1" x14ac:dyDescent="0.3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</row>
    <row r="75" spans="1:14" s="71" customFormat="1" x14ac:dyDescent="0.3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</row>
    <row r="76" spans="1:14" s="71" customFormat="1" x14ac:dyDescent="0.3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</row>
    <row r="77" spans="1:14" s="71" customFormat="1" x14ac:dyDescent="0.3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</row>
    <row r="78" spans="1:14" s="71" customFormat="1" x14ac:dyDescent="0.3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</row>
    <row r="79" spans="1:14" s="71" customFormat="1" x14ac:dyDescent="0.3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</row>
    <row r="80" spans="1:14" s="71" customFormat="1" x14ac:dyDescent="0.3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</row>
    <row r="81" spans="1:14" s="71" customFormat="1" x14ac:dyDescent="0.3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</row>
    <row r="82" spans="1:14" s="71" customFormat="1" x14ac:dyDescent="0.3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</row>
    <row r="83" spans="1:14" s="71" customFormat="1" x14ac:dyDescent="0.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</row>
    <row r="84" spans="1:14" s="71" customFormat="1" x14ac:dyDescent="0.3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</row>
    <row r="85" spans="1:14" s="71" customFormat="1" x14ac:dyDescent="0.3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</row>
    <row r="86" spans="1:14" s="71" customFormat="1" x14ac:dyDescent="0.3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</row>
    <row r="87" spans="1:14" s="71" customFormat="1" x14ac:dyDescent="0.3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</row>
    <row r="88" spans="1:14" s="71" customFormat="1" x14ac:dyDescent="0.3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</row>
    <row r="89" spans="1:14" s="71" customFormat="1" x14ac:dyDescent="0.3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</row>
    <row r="90" spans="1:14" s="71" customFormat="1" x14ac:dyDescent="0.3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</row>
    <row r="91" spans="1:14" s="71" customFormat="1" x14ac:dyDescent="0.3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</row>
    <row r="92" spans="1:14" s="71" customFormat="1" x14ac:dyDescent="0.3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</row>
    <row r="93" spans="1:14" s="71" customFormat="1" x14ac:dyDescent="0.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</row>
    <row r="94" spans="1:14" s="71" customFormat="1" x14ac:dyDescent="0.3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</row>
    <row r="95" spans="1:14" s="71" customFormat="1" x14ac:dyDescent="0.3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</row>
    <row r="96" spans="1:14" s="71" customFormat="1" x14ac:dyDescent="0.3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</row>
    <row r="97" spans="1:14" s="71" customFormat="1" x14ac:dyDescent="0.3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</row>
    <row r="98" spans="1:14" s="71" customFormat="1" x14ac:dyDescent="0.3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</row>
    <row r="99" spans="1:14" s="71" customFormat="1" x14ac:dyDescent="0.3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</row>
    <row r="100" spans="1:14" s="71" customFormat="1" x14ac:dyDescent="0.3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</row>
    <row r="101" spans="1:14" s="71" customFormat="1" x14ac:dyDescent="0.3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</row>
    <row r="102" spans="1:14" s="71" customFormat="1" x14ac:dyDescent="0.3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</row>
    <row r="103" spans="1:14" s="71" customFormat="1" x14ac:dyDescent="0.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</row>
    <row r="104" spans="1:14" s="71" customFormat="1" x14ac:dyDescent="0.3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</row>
    <row r="105" spans="1:14" s="71" customFormat="1" x14ac:dyDescent="0.3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</row>
    <row r="106" spans="1:14" s="71" customFormat="1" x14ac:dyDescent="0.3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</row>
    <row r="107" spans="1:14" s="71" customFormat="1" x14ac:dyDescent="0.3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</row>
    <row r="108" spans="1:14" s="71" customFormat="1" x14ac:dyDescent="0.3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</row>
    <row r="109" spans="1:14" s="71" customFormat="1" x14ac:dyDescent="0.3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</row>
    <row r="110" spans="1:14" s="71" customFormat="1" x14ac:dyDescent="0.3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</row>
    <row r="111" spans="1:14" s="71" customFormat="1" x14ac:dyDescent="0.3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</row>
    <row r="112" spans="1:14" s="71" customFormat="1" x14ac:dyDescent="0.3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</row>
    <row r="113" spans="1:14" s="71" customFormat="1" x14ac:dyDescent="0.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</row>
    <row r="114" spans="1:14" s="71" customFormat="1" x14ac:dyDescent="0.3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</row>
    <row r="115" spans="1:14" s="71" customFormat="1" x14ac:dyDescent="0.3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</row>
    <row r="116" spans="1:14" s="71" customFormat="1" x14ac:dyDescent="0.3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</row>
    <row r="117" spans="1:14" s="71" customFormat="1" x14ac:dyDescent="0.3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</row>
    <row r="118" spans="1:14" s="71" customFormat="1" x14ac:dyDescent="0.3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</row>
    <row r="119" spans="1:14" s="71" customFormat="1" x14ac:dyDescent="0.3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</row>
    <row r="120" spans="1:14" s="71" customFormat="1" x14ac:dyDescent="0.3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</row>
    <row r="121" spans="1:14" s="71" customFormat="1" x14ac:dyDescent="0.3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</row>
    <row r="122" spans="1:14" s="71" customFormat="1" x14ac:dyDescent="0.3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</row>
    <row r="123" spans="1:14" s="71" customFormat="1" x14ac:dyDescent="0.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</row>
    <row r="124" spans="1:14" s="71" customFormat="1" x14ac:dyDescent="0.3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</row>
    <row r="125" spans="1:14" s="71" customFormat="1" x14ac:dyDescent="0.3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</row>
    <row r="126" spans="1:14" s="71" customFormat="1" x14ac:dyDescent="0.3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</row>
    <row r="127" spans="1:14" s="71" customFormat="1" x14ac:dyDescent="0.3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</row>
    <row r="128" spans="1:14" s="71" customFormat="1" x14ac:dyDescent="0.3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</row>
    <row r="129" spans="1:14" s="71" customFormat="1" x14ac:dyDescent="0.3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</row>
    <row r="130" spans="1:14" s="71" customFormat="1" x14ac:dyDescent="0.3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</row>
    <row r="131" spans="1:14" s="71" customFormat="1" x14ac:dyDescent="0.3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</row>
    <row r="132" spans="1:14" s="71" customFormat="1" x14ac:dyDescent="0.3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</row>
    <row r="133" spans="1:14" s="71" customFormat="1" x14ac:dyDescent="0.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</row>
    <row r="134" spans="1:14" s="71" customFormat="1" x14ac:dyDescent="0.3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</row>
    <row r="135" spans="1:14" s="71" customFormat="1" x14ac:dyDescent="0.3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</row>
    <row r="136" spans="1:14" s="71" customFormat="1" x14ac:dyDescent="0.3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</row>
    <row r="137" spans="1:14" s="71" customFormat="1" x14ac:dyDescent="0.3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</row>
    <row r="138" spans="1:14" s="71" customFormat="1" x14ac:dyDescent="0.3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</row>
    <row r="139" spans="1:14" s="71" customFormat="1" x14ac:dyDescent="0.3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</row>
    <row r="140" spans="1:14" s="71" customFormat="1" x14ac:dyDescent="0.3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</row>
    <row r="141" spans="1:14" s="71" customFormat="1" x14ac:dyDescent="0.3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</row>
    <row r="142" spans="1:14" s="71" customFormat="1" x14ac:dyDescent="0.3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</row>
    <row r="143" spans="1:14" s="71" customFormat="1" x14ac:dyDescent="0.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</row>
    <row r="144" spans="1:14" s="71" customFormat="1" x14ac:dyDescent="0.3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</row>
    <row r="145" spans="1:14" s="71" customFormat="1" x14ac:dyDescent="0.3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</row>
    <row r="146" spans="1:14" s="71" customFormat="1" x14ac:dyDescent="0.3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</row>
    <row r="147" spans="1:14" s="71" customFormat="1" x14ac:dyDescent="0.3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</row>
    <row r="148" spans="1:14" s="71" customFormat="1" x14ac:dyDescent="0.3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</row>
    <row r="149" spans="1:14" s="71" customFormat="1" x14ac:dyDescent="0.3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</row>
    <row r="150" spans="1:14" s="71" customFormat="1" x14ac:dyDescent="0.3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</row>
    <row r="151" spans="1:14" s="71" customFormat="1" x14ac:dyDescent="0.3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</row>
    <row r="152" spans="1:14" s="71" customFormat="1" x14ac:dyDescent="0.3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</row>
    <row r="153" spans="1:14" s="71" customFormat="1" x14ac:dyDescent="0.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</row>
    <row r="154" spans="1:14" s="71" customFormat="1" x14ac:dyDescent="0.3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</row>
    <row r="155" spans="1:14" s="71" customFormat="1" x14ac:dyDescent="0.3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</row>
    <row r="156" spans="1:14" s="71" customFormat="1" x14ac:dyDescent="0.3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</row>
    <row r="157" spans="1:14" s="71" customFormat="1" x14ac:dyDescent="0.3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</row>
    <row r="158" spans="1:14" s="71" customFormat="1" x14ac:dyDescent="0.3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</row>
    <row r="159" spans="1:14" s="71" customFormat="1" x14ac:dyDescent="0.3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</row>
    <row r="160" spans="1:14" s="71" customFormat="1" x14ac:dyDescent="0.3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</row>
    <row r="161" spans="1:14" s="71" customFormat="1" x14ac:dyDescent="0.3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</row>
    <row r="162" spans="1:14" s="71" customFormat="1" x14ac:dyDescent="0.3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</row>
    <row r="163" spans="1:14" s="71" customFormat="1" x14ac:dyDescent="0.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</row>
    <row r="164" spans="1:14" s="71" customFormat="1" x14ac:dyDescent="0.3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</row>
    <row r="165" spans="1:14" s="71" customFormat="1" x14ac:dyDescent="0.3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</row>
    <row r="166" spans="1:14" s="71" customFormat="1" x14ac:dyDescent="0.3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</row>
    <row r="167" spans="1:14" s="71" customFormat="1" x14ac:dyDescent="0.3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</row>
    <row r="168" spans="1:14" s="71" customFormat="1" x14ac:dyDescent="0.3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</row>
    <row r="169" spans="1:14" s="71" customFormat="1" x14ac:dyDescent="0.3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</row>
    <row r="170" spans="1:14" s="71" customFormat="1" x14ac:dyDescent="0.3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</row>
    <row r="171" spans="1:14" s="71" customFormat="1" x14ac:dyDescent="0.3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</row>
    <row r="172" spans="1:14" s="71" customFormat="1" x14ac:dyDescent="0.3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</row>
    <row r="173" spans="1:14" s="71" customFormat="1" x14ac:dyDescent="0.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</row>
    <row r="174" spans="1:14" s="71" customFormat="1" x14ac:dyDescent="0.3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</row>
    <row r="175" spans="1:14" s="71" customFormat="1" x14ac:dyDescent="0.3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</row>
    <row r="176" spans="1:14" s="71" customFormat="1" x14ac:dyDescent="0.3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</row>
    <row r="177" spans="1:14" s="71" customFormat="1" x14ac:dyDescent="0.3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</row>
    <row r="178" spans="1:14" s="71" customFormat="1" x14ac:dyDescent="0.3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</row>
    <row r="179" spans="1:14" s="71" customFormat="1" x14ac:dyDescent="0.3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</row>
    <row r="180" spans="1:14" s="71" customFormat="1" x14ac:dyDescent="0.3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</row>
    <row r="181" spans="1:14" s="71" customFormat="1" x14ac:dyDescent="0.3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</row>
    <row r="182" spans="1:14" s="71" customFormat="1" x14ac:dyDescent="0.3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</row>
    <row r="183" spans="1:14" s="71" customFormat="1" x14ac:dyDescent="0.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</row>
    <row r="184" spans="1:14" s="71" customFormat="1" x14ac:dyDescent="0.3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</row>
    <row r="185" spans="1:14" s="71" customFormat="1" x14ac:dyDescent="0.3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</row>
    <row r="186" spans="1:14" s="71" customFormat="1" x14ac:dyDescent="0.3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</row>
    <row r="187" spans="1:14" s="71" customFormat="1" x14ac:dyDescent="0.3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</row>
    <row r="188" spans="1:14" s="71" customFormat="1" x14ac:dyDescent="0.3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</row>
    <row r="189" spans="1:14" s="71" customFormat="1" x14ac:dyDescent="0.3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</row>
    <row r="190" spans="1:14" s="71" customFormat="1" x14ac:dyDescent="0.3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</row>
    <row r="191" spans="1:14" s="71" customFormat="1" x14ac:dyDescent="0.3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</row>
    <row r="192" spans="1:14" s="71" customFormat="1" x14ac:dyDescent="0.3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</row>
    <row r="193" spans="1:14" s="71" customFormat="1" x14ac:dyDescent="0.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</row>
    <row r="194" spans="1:14" s="71" customFormat="1" x14ac:dyDescent="0.3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</row>
    <row r="195" spans="1:14" s="71" customFormat="1" x14ac:dyDescent="0.3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</row>
    <row r="196" spans="1:14" s="71" customFormat="1" x14ac:dyDescent="0.3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</row>
    <row r="197" spans="1:14" s="71" customFormat="1" x14ac:dyDescent="0.3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</row>
    <row r="198" spans="1:14" s="71" customFormat="1" x14ac:dyDescent="0.3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</row>
    <row r="199" spans="1:14" s="71" customFormat="1" x14ac:dyDescent="0.3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</row>
    <row r="200" spans="1:14" s="71" customFormat="1" x14ac:dyDescent="0.3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</row>
    <row r="201" spans="1:14" s="71" customFormat="1" x14ac:dyDescent="0.3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</row>
    <row r="202" spans="1:14" s="71" customFormat="1" x14ac:dyDescent="0.3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</row>
    <row r="203" spans="1:14" s="71" customFormat="1" x14ac:dyDescent="0.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</row>
    <row r="204" spans="1:14" s="71" customFormat="1" x14ac:dyDescent="0.3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</row>
    <row r="205" spans="1:14" s="71" customFormat="1" x14ac:dyDescent="0.3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</row>
    <row r="206" spans="1:14" s="71" customFormat="1" x14ac:dyDescent="0.3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</row>
    <row r="207" spans="1:14" s="71" customFormat="1" x14ac:dyDescent="0.3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</row>
    <row r="208" spans="1:14" s="71" customFormat="1" x14ac:dyDescent="0.3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</row>
    <row r="209" spans="1:14" s="71" customFormat="1" x14ac:dyDescent="0.3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</row>
    <row r="210" spans="1:14" s="71" customFormat="1" x14ac:dyDescent="0.3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</row>
    <row r="211" spans="1:14" s="71" customFormat="1" x14ac:dyDescent="0.3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</row>
    <row r="212" spans="1:14" s="71" customFormat="1" x14ac:dyDescent="0.3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</row>
    <row r="213" spans="1:14" s="71" customFormat="1" x14ac:dyDescent="0.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</row>
    <row r="214" spans="1:14" s="71" customFormat="1" x14ac:dyDescent="0.3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</row>
    <row r="215" spans="1:14" s="71" customFormat="1" x14ac:dyDescent="0.3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</row>
    <row r="216" spans="1:14" s="71" customFormat="1" x14ac:dyDescent="0.3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</row>
    <row r="217" spans="1:14" s="71" customFormat="1" x14ac:dyDescent="0.3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</row>
    <row r="218" spans="1:14" s="71" customFormat="1" x14ac:dyDescent="0.3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</row>
    <row r="219" spans="1:14" s="71" customFormat="1" x14ac:dyDescent="0.3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</row>
    <row r="220" spans="1:14" s="71" customFormat="1" x14ac:dyDescent="0.3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</row>
    <row r="221" spans="1:14" s="71" customFormat="1" x14ac:dyDescent="0.3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</row>
    <row r="222" spans="1:14" s="71" customFormat="1" x14ac:dyDescent="0.3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</row>
    <row r="223" spans="1:14" s="71" customFormat="1" x14ac:dyDescent="0.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</row>
    <row r="224" spans="1:14" s="71" customFormat="1" x14ac:dyDescent="0.3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</row>
    <row r="225" spans="1:14" s="71" customFormat="1" x14ac:dyDescent="0.3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</row>
    <row r="226" spans="1:14" s="71" customFormat="1" x14ac:dyDescent="0.3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</row>
    <row r="227" spans="1:14" s="71" customFormat="1" x14ac:dyDescent="0.3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</row>
    <row r="228" spans="1:14" s="71" customFormat="1" x14ac:dyDescent="0.3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</row>
    <row r="229" spans="1:14" s="71" customFormat="1" x14ac:dyDescent="0.3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</row>
    <row r="230" spans="1:14" s="71" customFormat="1" x14ac:dyDescent="0.3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</row>
    <row r="231" spans="1:14" s="71" customFormat="1" x14ac:dyDescent="0.3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</row>
    <row r="232" spans="1:14" s="71" customFormat="1" x14ac:dyDescent="0.3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</row>
    <row r="233" spans="1:14" s="71" customFormat="1" x14ac:dyDescent="0.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</row>
    <row r="234" spans="1:14" s="71" customFormat="1" x14ac:dyDescent="0.3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</row>
    <row r="235" spans="1:14" s="71" customFormat="1" x14ac:dyDescent="0.3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</row>
    <row r="236" spans="1:14" s="71" customFormat="1" x14ac:dyDescent="0.3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</row>
    <row r="237" spans="1:14" s="71" customFormat="1" x14ac:dyDescent="0.3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</row>
    <row r="238" spans="1:14" s="71" customFormat="1" x14ac:dyDescent="0.3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</row>
    <row r="239" spans="1:14" s="71" customFormat="1" x14ac:dyDescent="0.3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</row>
    <row r="240" spans="1:14" s="71" customFormat="1" x14ac:dyDescent="0.3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</row>
    <row r="241" spans="1:14" s="71" customFormat="1" x14ac:dyDescent="0.3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</row>
    <row r="242" spans="1:14" s="71" customFormat="1" x14ac:dyDescent="0.3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</row>
    <row r="243" spans="1:14" s="71" customFormat="1" x14ac:dyDescent="0.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</row>
    <row r="244" spans="1:14" s="71" customFormat="1" x14ac:dyDescent="0.3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</row>
    <row r="245" spans="1:14" s="71" customFormat="1" x14ac:dyDescent="0.3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</row>
    <row r="246" spans="1:14" s="71" customFormat="1" x14ac:dyDescent="0.3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</row>
    <row r="247" spans="1:14" s="71" customFormat="1" x14ac:dyDescent="0.3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</row>
    <row r="248" spans="1:14" s="71" customFormat="1" x14ac:dyDescent="0.3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</row>
    <row r="249" spans="1:14" s="71" customFormat="1" x14ac:dyDescent="0.3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</row>
    <row r="250" spans="1:14" s="71" customFormat="1" x14ac:dyDescent="0.3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</row>
    <row r="251" spans="1:14" s="71" customFormat="1" x14ac:dyDescent="0.3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</row>
    <row r="252" spans="1:14" s="71" customFormat="1" x14ac:dyDescent="0.3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</row>
    <row r="253" spans="1:14" s="71" customFormat="1" x14ac:dyDescent="0.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</row>
    <row r="254" spans="1:14" s="71" customFormat="1" x14ac:dyDescent="0.3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</row>
    <row r="255" spans="1:14" s="71" customFormat="1" x14ac:dyDescent="0.3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</row>
    <row r="256" spans="1:14" s="71" customFormat="1" x14ac:dyDescent="0.3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</row>
    <row r="257" spans="1:14" s="71" customFormat="1" x14ac:dyDescent="0.3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</row>
    <row r="258" spans="1:14" s="71" customFormat="1" x14ac:dyDescent="0.3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</row>
    <row r="259" spans="1:14" s="71" customFormat="1" x14ac:dyDescent="0.3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</row>
    <row r="260" spans="1:14" s="71" customFormat="1" x14ac:dyDescent="0.3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</row>
    <row r="261" spans="1:14" s="71" customFormat="1" x14ac:dyDescent="0.3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</row>
    <row r="262" spans="1:14" s="71" customFormat="1" x14ac:dyDescent="0.3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</row>
    <row r="263" spans="1:14" s="71" customFormat="1" x14ac:dyDescent="0.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</row>
    <row r="264" spans="1:14" s="71" customFormat="1" x14ac:dyDescent="0.3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</row>
    <row r="265" spans="1:14" s="71" customFormat="1" x14ac:dyDescent="0.3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</row>
    <row r="266" spans="1:14" s="71" customFormat="1" x14ac:dyDescent="0.3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</row>
    <row r="267" spans="1:14" s="71" customFormat="1" x14ac:dyDescent="0.3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</row>
    <row r="268" spans="1:14" s="71" customFormat="1" x14ac:dyDescent="0.3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</row>
    <row r="269" spans="1:14" s="71" customFormat="1" x14ac:dyDescent="0.3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</row>
    <row r="270" spans="1:14" s="71" customFormat="1" x14ac:dyDescent="0.3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</row>
    <row r="271" spans="1:14" s="71" customFormat="1" x14ac:dyDescent="0.3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</row>
    <row r="272" spans="1:14" s="71" customFormat="1" x14ac:dyDescent="0.3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</row>
    <row r="273" spans="1:14" s="71" customFormat="1" x14ac:dyDescent="0.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</row>
    <row r="274" spans="1:14" s="71" customFormat="1" x14ac:dyDescent="0.3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</row>
    <row r="275" spans="1:14" s="71" customFormat="1" x14ac:dyDescent="0.3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</row>
    <row r="276" spans="1:14" s="71" customFormat="1" x14ac:dyDescent="0.3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</row>
    <row r="277" spans="1:14" s="71" customFormat="1" x14ac:dyDescent="0.3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</row>
    <row r="278" spans="1:14" s="71" customFormat="1" x14ac:dyDescent="0.3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</row>
    <row r="279" spans="1:14" s="71" customFormat="1" x14ac:dyDescent="0.3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</row>
    <row r="280" spans="1:14" s="71" customFormat="1" x14ac:dyDescent="0.3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</row>
    <row r="281" spans="1:14" s="71" customFormat="1" x14ac:dyDescent="0.3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</row>
    <row r="282" spans="1:14" s="71" customFormat="1" x14ac:dyDescent="0.3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</row>
    <row r="283" spans="1:14" s="71" customFormat="1" x14ac:dyDescent="0.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</row>
    <row r="284" spans="1:14" s="71" customFormat="1" x14ac:dyDescent="0.3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</row>
    <row r="285" spans="1:14" s="71" customFormat="1" x14ac:dyDescent="0.3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</row>
    <row r="286" spans="1:14" s="71" customFormat="1" x14ac:dyDescent="0.3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</row>
    <row r="287" spans="1:14" s="71" customFormat="1" x14ac:dyDescent="0.3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</row>
    <row r="288" spans="1:14" s="71" customFormat="1" x14ac:dyDescent="0.3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</row>
    <row r="289" spans="1:14" s="71" customFormat="1" x14ac:dyDescent="0.3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</row>
    <row r="290" spans="1:14" s="71" customFormat="1" x14ac:dyDescent="0.3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</row>
    <row r="291" spans="1:14" s="71" customFormat="1" x14ac:dyDescent="0.3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</row>
    <row r="292" spans="1:14" s="71" customFormat="1" x14ac:dyDescent="0.3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</row>
    <row r="293" spans="1:14" s="71" customFormat="1" x14ac:dyDescent="0.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</row>
    <row r="294" spans="1:14" s="71" customFormat="1" x14ac:dyDescent="0.3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</row>
    <row r="295" spans="1:14" s="71" customFormat="1" x14ac:dyDescent="0.3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</row>
    <row r="296" spans="1:14" s="71" customFormat="1" x14ac:dyDescent="0.3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</row>
    <row r="297" spans="1:14" s="71" customFormat="1" x14ac:dyDescent="0.3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</row>
    <row r="298" spans="1:14" s="71" customFormat="1" x14ac:dyDescent="0.3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</row>
    <row r="299" spans="1:14" s="71" customFormat="1" x14ac:dyDescent="0.3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</row>
    <row r="300" spans="1:14" s="71" customFormat="1" x14ac:dyDescent="0.3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</row>
    <row r="301" spans="1:14" s="71" customFormat="1" x14ac:dyDescent="0.3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</row>
  </sheetData>
  <sheetProtection algorithmName="SHA-512" hashValue="eI0RCj+HyY9uiM4gtefIMkl0zlLL8e1GZWkThh5dFlCzs+en5U2VW9lnOaDf2WulVr47GZCE91bFiLDlWWMosA==" saltValue="kgJYDRJRGJdq0zE87Zkcuw==" spinCount="100000" sheet="1" objects="1" scenarios="1"/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C3" sqref="C3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95" t="s">
        <v>23</v>
      </c>
      <c r="B1" s="95" t="s">
        <v>36</v>
      </c>
      <c r="C1" s="95" t="s">
        <v>37</v>
      </c>
    </row>
    <row r="2" spans="1:3" x14ac:dyDescent="0.3">
      <c r="A2" s="72" t="s">
        <v>64</v>
      </c>
      <c r="B2" s="70">
        <v>65.183692899999997</v>
      </c>
      <c r="C2" s="70">
        <v>-157.55915830000001</v>
      </c>
    </row>
    <row r="3" spans="1:3" x14ac:dyDescent="0.3">
      <c r="A3" s="70" t="s">
        <v>65</v>
      </c>
      <c r="B3" s="70">
        <v>63.40793</v>
      </c>
      <c r="C3" s="70">
        <v>-157.70349999999999</v>
      </c>
    </row>
    <row r="4" spans="1:3" x14ac:dyDescent="0.3">
      <c r="A4" s="70" t="s">
        <v>66</v>
      </c>
      <c r="B4" s="70">
        <v>66.354389999999995</v>
      </c>
      <c r="C4" s="70">
        <v>-149.58879999999999</v>
      </c>
    </row>
    <row r="5" spans="1:3" x14ac:dyDescent="0.3">
      <c r="A5" s="70"/>
      <c r="B5" s="70"/>
      <c r="C5" s="70"/>
    </row>
    <row r="6" spans="1:3" x14ac:dyDescent="0.3">
      <c r="A6" s="70"/>
      <c r="B6" s="70"/>
      <c r="C6" s="70"/>
    </row>
    <row r="7" spans="1:3" x14ac:dyDescent="0.3">
      <c r="A7" s="70"/>
      <c r="B7" s="70"/>
      <c r="C7" s="70"/>
    </row>
    <row r="8" spans="1:3" x14ac:dyDescent="0.3">
      <c r="A8" s="70"/>
      <c r="B8" s="70"/>
      <c r="C8" s="70"/>
    </row>
    <row r="9" spans="1:3" x14ac:dyDescent="0.3">
      <c r="A9" s="70"/>
      <c r="B9" s="70"/>
      <c r="C9" s="70"/>
    </row>
    <row r="10" spans="1:3" x14ac:dyDescent="0.3">
      <c r="A10" s="70"/>
      <c r="B10" s="70"/>
      <c r="C10" s="70"/>
    </row>
    <row r="11" spans="1:3" x14ac:dyDescent="0.3">
      <c r="A11" s="70"/>
      <c r="B11" s="70"/>
      <c r="C11" s="70"/>
    </row>
  </sheetData>
  <sheetProtection algorithmName="SHA-512" hashValue="XwyuJwVPt8GTZJlX60ZNYKNBMXavLbr/rDm3PVvmnyZmFoL25Wi12atC3bdMQvbH4Uuv7ApWjjEzBKBJYChjTw==" saltValue="RJpc/G4HsZKaJYVckrIy8w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B5" sqref="B5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47</v>
      </c>
    </row>
    <row r="2" spans="1:2" x14ac:dyDescent="0.3">
      <c r="A2" s="70" t="s">
        <v>70</v>
      </c>
      <c r="B2" s="70">
        <v>150</v>
      </c>
    </row>
    <row r="3" spans="1:2" x14ac:dyDescent="0.3">
      <c r="A3" s="70" t="s">
        <v>71</v>
      </c>
      <c r="B3" s="70">
        <v>200</v>
      </c>
    </row>
    <row r="4" spans="1:2" x14ac:dyDescent="0.3">
      <c r="A4" s="70" t="s">
        <v>72</v>
      </c>
      <c r="B4" s="70">
        <v>130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BK23fx69nYic4yAR7UIg6Qp+sxzn895U1bwsjE11VkTURaBS7vWvrnsIJXgrSmkBi8rZB3GNnBhFuqAP5euXA==" saltValue="dpGl1HpZJLgV2rTWj7M2rw==" spinCount="100000"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B5" sqref="B5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95" t="s">
        <v>13</v>
      </c>
      <c r="B1" s="95" t="s">
        <v>47</v>
      </c>
    </row>
    <row r="2" spans="1:2" x14ac:dyDescent="0.3">
      <c r="A2" s="70" t="s">
        <v>73</v>
      </c>
      <c r="B2" s="70">
        <v>200</v>
      </c>
    </row>
    <row r="3" spans="1:2" x14ac:dyDescent="0.3">
      <c r="A3" s="70" t="s">
        <v>74</v>
      </c>
      <c r="B3" s="70">
        <v>250</v>
      </c>
    </row>
    <row r="4" spans="1:2" x14ac:dyDescent="0.3">
      <c r="A4" s="70" t="s">
        <v>75</v>
      </c>
      <c r="B4" s="70">
        <v>100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  <row r="12" spans="1:2" x14ac:dyDescent="0.3">
      <c r="A12" s="70"/>
      <c r="B12" s="70"/>
    </row>
    <row r="13" spans="1:2" x14ac:dyDescent="0.3">
      <c r="A13" s="70"/>
      <c r="B13" s="70"/>
    </row>
    <row r="14" spans="1:2" x14ac:dyDescent="0.3">
      <c r="A14" s="70"/>
      <c r="B14" s="70"/>
    </row>
    <row r="15" spans="1:2" x14ac:dyDescent="0.3">
      <c r="A15" s="70"/>
      <c r="B15" s="70"/>
    </row>
    <row r="16" spans="1:2" x14ac:dyDescent="0.3">
      <c r="A16" s="70"/>
      <c r="B16" s="70"/>
    </row>
    <row r="17" spans="1:2" x14ac:dyDescent="0.3">
      <c r="A17" s="70"/>
      <c r="B17" s="70"/>
    </row>
    <row r="18" spans="1:2" x14ac:dyDescent="0.3">
      <c r="A18" s="70"/>
      <c r="B18" s="70"/>
    </row>
    <row r="19" spans="1:2" x14ac:dyDescent="0.3">
      <c r="A19" s="70"/>
      <c r="B19" s="70"/>
    </row>
    <row r="20" spans="1:2" x14ac:dyDescent="0.3">
      <c r="A20" s="70"/>
      <c r="B20" s="70"/>
    </row>
    <row r="21" spans="1:2" x14ac:dyDescent="0.3">
      <c r="A21" s="70"/>
      <c r="B21" s="70"/>
    </row>
    <row r="22" spans="1:2" x14ac:dyDescent="0.3">
      <c r="A22" s="70"/>
      <c r="B22" s="70"/>
    </row>
    <row r="23" spans="1:2" x14ac:dyDescent="0.3">
      <c r="A23" s="70"/>
      <c r="B23" s="70"/>
    </row>
    <row r="24" spans="1:2" x14ac:dyDescent="0.3">
      <c r="A24" s="70"/>
      <c r="B24" s="70"/>
    </row>
    <row r="25" spans="1:2" x14ac:dyDescent="0.3">
      <c r="A25" s="70"/>
      <c r="B25" s="70"/>
    </row>
    <row r="26" spans="1:2" x14ac:dyDescent="0.3">
      <c r="A26" s="70"/>
      <c r="B26" s="70"/>
    </row>
    <row r="27" spans="1:2" x14ac:dyDescent="0.3">
      <c r="A27" s="70"/>
      <c r="B27" s="70"/>
    </row>
    <row r="28" spans="1:2" x14ac:dyDescent="0.3">
      <c r="A28" s="70"/>
      <c r="B28" s="70"/>
    </row>
    <row r="29" spans="1:2" x14ac:dyDescent="0.3">
      <c r="A29" s="70"/>
      <c r="B29" s="70"/>
    </row>
    <row r="30" spans="1:2" x14ac:dyDescent="0.3">
      <c r="A30" s="70"/>
      <c r="B30" s="70"/>
    </row>
    <row r="31" spans="1:2" x14ac:dyDescent="0.3">
      <c r="A31" s="70"/>
      <c r="B31" s="70"/>
    </row>
  </sheetData>
  <sheetProtection algorithmName="SHA-512" hashValue="HUq81Nwu/sM5OOSc+cuAqywWNQw9cZZVrYegJxpsu7nxzxCltaIRZveY8ZtnVpe6UrIXju6woj60+5O/DCEw6g==" saltValue="Zflr2Grm1CWxqnGKrhQi1Q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>
      <selection activeCell="A4" sqref="A4"/>
    </sheetView>
  </sheetViews>
  <sheetFormatPr defaultRowHeight="14.4" x14ac:dyDescent="0.3"/>
  <cols>
    <col min="1" max="1" width="27.5546875" customWidth="1"/>
    <col min="4" max="4" width="8.88671875" style="92"/>
    <col min="7" max="7" width="13.5546875" customWidth="1"/>
  </cols>
  <sheetData>
    <row r="1" spans="1:7" x14ac:dyDescent="0.3">
      <c r="A1" s="1" t="s">
        <v>13</v>
      </c>
      <c r="D1" s="93" t="s">
        <v>28</v>
      </c>
      <c r="G1" s="2" t="s">
        <v>38</v>
      </c>
    </row>
    <row r="2" spans="1:7" x14ac:dyDescent="0.3">
      <c r="A2" s="70" t="s">
        <v>71</v>
      </c>
      <c r="D2" s="93" t="s">
        <v>29</v>
      </c>
      <c r="G2" s="2" t="str" cm="1">
        <f t="array" ref="G2:G8">_xlfn._xlws.SORT(_xlfn.UNIQUE(_xlfn.VSTACK(List_crew_leaders!A2:A31,List_crew_members!A2:A31)))</f>
        <v>cl1</v>
      </c>
    </row>
    <row r="3" spans="1:7" x14ac:dyDescent="0.3">
      <c r="A3" s="70"/>
      <c r="G3" s="2" t="str">
        <v>cl2</v>
      </c>
    </row>
    <row r="4" spans="1:7" x14ac:dyDescent="0.3">
      <c r="A4" s="70"/>
      <c r="G4" s="2" t="str">
        <v>cl3</v>
      </c>
    </row>
    <row r="5" spans="1:7" x14ac:dyDescent="0.3">
      <c r="A5" s="70"/>
      <c r="G5" s="2" t="str">
        <v>cm1</v>
      </c>
    </row>
    <row r="6" spans="1:7" x14ac:dyDescent="0.3">
      <c r="A6" s="70"/>
      <c r="G6" s="2" t="str">
        <v>cm2</v>
      </c>
    </row>
    <row r="7" spans="1:7" x14ac:dyDescent="0.3">
      <c r="A7" s="70"/>
      <c r="G7" s="2" t="str">
        <v>cm3</v>
      </c>
    </row>
    <row r="8" spans="1:7" x14ac:dyDescent="0.3">
      <c r="A8" s="70"/>
      <c r="G8" s="2">
        <v>0</v>
      </c>
    </row>
    <row r="9" spans="1:7" x14ac:dyDescent="0.3">
      <c r="A9" s="70"/>
      <c r="G9" s="2"/>
    </row>
    <row r="10" spans="1:7" x14ac:dyDescent="0.3">
      <c r="A10" s="70"/>
      <c r="G10" s="2"/>
    </row>
    <row r="11" spans="1:7" x14ac:dyDescent="0.3">
      <c r="A11" s="70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YROf0GUZyEy5KQdRyV7CNUUTwiOThNrq+vr/W5N1wo+tbqUBsU4UFu3rT4LqDI1wgqRDA9dJ/xHQXTl3hLE2Ag==" saltValue="wVSnNbXkryzpNw/D+mO8IA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B5" sqref="B5"/>
    </sheetView>
  </sheetViews>
  <sheetFormatPr defaultRowHeight="14.4" x14ac:dyDescent="0.3"/>
  <cols>
    <col min="2" max="2" width="16.88671875" bestFit="1" customWidth="1"/>
  </cols>
  <sheetData>
    <row r="1" spans="1:2" x14ac:dyDescent="0.3">
      <c r="A1" s="95" t="s">
        <v>13</v>
      </c>
      <c r="B1" s="95" t="s">
        <v>47</v>
      </c>
    </row>
    <row r="2" spans="1:2" x14ac:dyDescent="0.3">
      <c r="A2" s="70" t="s">
        <v>67</v>
      </c>
      <c r="B2" s="70">
        <v>300</v>
      </c>
    </row>
    <row r="3" spans="1:2" x14ac:dyDescent="0.3">
      <c r="A3" s="70" t="s">
        <v>68</v>
      </c>
      <c r="B3" s="70">
        <v>200</v>
      </c>
    </row>
    <row r="4" spans="1:2" x14ac:dyDescent="0.3">
      <c r="A4" s="70" t="s">
        <v>69</v>
      </c>
      <c r="B4" s="70">
        <v>100</v>
      </c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H41"/>
  <sheetViews>
    <sheetView workbookViewId="0">
      <selection activeCell="H19" sqref="H19"/>
    </sheetView>
  </sheetViews>
  <sheetFormatPr defaultRowHeight="14.4" x14ac:dyDescent="0.3"/>
  <cols>
    <col min="1" max="1" width="21.109375" bestFit="1" customWidth="1"/>
    <col min="2" max="2" width="13.5546875" bestFit="1" customWidth="1"/>
    <col min="3" max="3" width="23.44140625" customWidth="1"/>
    <col min="4" max="4" width="16.88671875" bestFit="1" customWidth="1"/>
    <col min="8" max="8" width="13.77734375" bestFit="1" customWidth="1"/>
  </cols>
  <sheetData>
    <row r="1" spans="1:8" x14ac:dyDescent="0.3">
      <c r="A1" s="95" t="s">
        <v>13</v>
      </c>
      <c r="B1" s="95" t="s">
        <v>80</v>
      </c>
      <c r="C1" s="95" t="s">
        <v>81</v>
      </c>
      <c r="D1" s="95" t="s">
        <v>47</v>
      </c>
      <c r="H1" s="94" t="s">
        <v>85</v>
      </c>
    </row>
    <row r="2" spans="1:8" x14ac:dyDescent="0.3">
      <c r="A2" s="70" t="s">
        <v>51</v>
      </c>
      <c r="B2" s="70">
        <v>1</v>
      </c>
      <c r="C2" s="70" t="s">
        <v>82</v>
      </c>
      <c r="D2" s="70">
        <v>20</v>
      </c>
      <c r="H2" s="92" t="s">
        <v>82</v>
      </c>
    </row>
    <row r="3" spans="1:8" x14ac:dyDescent="0.3">
      <c r="A3" s="70" t="s">
        <v>54</v>
      </c>
      <c r="B3" s="70">
        <v>1</v>
      </c>
      <c r="C3" s="70" t="s">
        <v>83</v>
      </c>
      <c r="D3" s="70">
        <v>60</v>
      </c>
      <c r="H3" s="92" t="s">
        <v>83</v>
      </c>
    </row>
    <row r="4" spans="1:8" x14ac:dyDescent="0.3">
      <c r="A4" s="70" t="s">
        <v>48</v>
      </c>
      <c r="B4" s="70">
        <v>1</v>
      </c>
      <c r="C4" s="70" t="s">
        <v>83</v>
      </c>
      <c r="D4" s="70">
        <v>100</v>
      </c>
      <c r="H4" s="92" t="s">
        <v>84</v>
      </c>
    </row>
    <row r="5" spans="1:8" x14ac:dyDescent="0.3">
      <c r="A5" s="70" t="s">
        <v>49</v>
      </c>
      <c r="B5" s="70">
        <v>2</v>
      </c>
      <c r="C5" s="70" t="s">
        <v>83</v>
      </c>
      <c r="D5" s="70">
        <v>150</v>
      </c>
    </row>
    <row r="6" spans="1:8" x14ac:dyDescent="0.3">
      <c r="A6" s="70" t="s">
        <v>50</v>
      </c>
      <c r="B6" s="70">
        <v>1</v>
      </c>
      <c r="C6" s="70" t="s">
        <v>83</v>
      </c>
      <c r="D6" s="70">
        <v>200</v>
      </c>
    </row>
    <row r="7" spans="1:8" x14ac:dyDescent="0.3">
      <c r="A7" s="70" t="s">
        <v>52</v>
      </c>
      <c r="B7" s="70">
        <v>1</v>
      </c>
      <c r="C7" s="70" t="s">
        <v>84</v>
      </c>
      <c r="D7" s="70">
        <v>120</v>
      </c>
    </row>
    <row r="8" spans="1:8" x14ac:dyDescent="0.3">
      <c r="A8" s="70" t="s">
        <v>53</v>
      </c>
      <c r="B8" s="70">
        <v>1</v>
      </c>
      <c r="C8" s="70" t="s">
        <v>84</v>
      </c>
      <c r="D8" s="70">
        <v>100</v>
      </c>
    </row>
    <row r="9" spans="1:8" x14ac:dyDescent="0.3">
      <c r="A9" s="71"/>
      <c r="B9" s="70"/>
      <c r="C9" s="70"/>
      <c r="D9" s="70"/>
    </row>
    <row r="10" spans="1:8" x14ac:dyDescent="0.3">
      <c r="A10" s="70"/>
      <c r="B10" s="70"/>
      <c r="C10" s="70"/>
      <c r="D10" s="70"/>
    </row>
    <row r="11" spans="1:8" x14ac:dyDescent="0.3">
      <c r="A11" s="70"/>
      <c r="B11" s="70"/>
      <c r="C11" s="70"/>
      <c r="D11" s="70"/>
    </row>
    <row r="12" spans="1:8" x14ac:dyDescent="0.3">
      <c r="A12" s="70"/>
      <c r="B12" s="70"/>
      <c r="C12" s="70"/>
      <c r="D12" s="70"/>
    </row>
    <row r="13" spans="1:8" x14ac:dyDescent="0.3">
      <c r="A13" s="70"/>
      <c r="B13" s="70"/>
      <c r="C13" s="70"/>
      <c r="D13" s="70"/>
    </row>
    <row r="14" spans="1:8" x14ac:dyDescent="0.3">
      <c r="A14" s="70"/>
      <c r="B14" s="70"/>
      <c r="C14" s="70"/>
      <c r="D14" s="70"/>
    </row>
    <row r="15" spans="1:8" x14ac:dyDescent="0.3">
      <c r="A15" s="70"/>
      <c r="B15" s="70"/>
      <c r="C15" s="70"/>
      <c r="D15" s="70"/>
    </row>
    <row r="16" spans="1:8" x14ac:dyDescent="0.3">
      <c r="A16" s="70"/>
      <c r="B16" s="70"/>
      <c r="C16" s="70"/>
      <c r="D16" s="70"/>
    </row>
    <row r="17" spans="1:4" x14ac:dyDescent="0.3">
      <c r="A17" s="70"/>
      <c r="B17" s="70"/>
      <c r="C17" s="70"/>
      <c r="D17" s="70"/>
    </row>
    <row r="18" spans="1:4" x14ac:dyDescent="0.3">
      <c r="A18" s="70"/>
      <c r="B18" s="70"/>
      <c r="C18" s="70"/>
      <c r="D18" s="70"/>
    </row>
    <row r="19" spans="1:4" x14ac:dyDescent="0.3">
      <c r="A19" s="70"/>
      <c r="B19" s="70"/>
      <c r="C19" s="70"/>
      <c r="D19" s="70"/>
    </row>
    <row r="20" spans="1:4" x14ac:dyDescent="0.3">
      <c r="A20" s="70"/>
      <c r="B20" s="70"/>
      <c r="C20" s="70"/>
      <c r="D20" s="70"/>
    </row>
    <row r="21" spans="1:4" x14ac:dyDescent="0.3">
      <c r="A21" s="70"/>
      <c r="B21" s="70"/>
      <c r="C21" s="70"/>
      <c r="D21" s="70"/>
    </row>
    <row r="22" spans="1:4" x14ac:dyDescent="0.3">
      <c r="A22" s="70"/>
      <c r="B22" s="70"/>
      <c r="C22" s="70"/>
      <c r="D22" s="70"/>
    </row>
    <row r="23" spans="1:4" x14ac:dyDescent="0.3">
      <c r="A23" s="70"/>
      <c r="B23" s="70"/>
      <c r="C23" s="70"/>
      <c r="D23" s="70"/>
    </row>
    <row r="24" spans="1:4" x14ac:dyDescent="0.3">
      <c r="A24" s="70"/>
      <c r="B24" s="70"/>
      <c r="C24" s="70"/>
      <c r="D24" s="70"/>
    </row>
    <row r="25" spans="1:4" x14ac:dyDescent="0.3">
      <c r="A25" s="70"/>
      <c r="B25" s="70"/>
      <c r="C25" s="70"/>
      <c r="D25" s="70"/>
    </row>
    <row r="26" spans="1:4" x14ac:dyDescent="0.3">
      <c r="A26" s="70"/>
      <c r="B26" s="70"/>
      <c r="C26" s="70"/>
      <c r="D26" s="70"/>
    </row>
    <row r="27" spans="1:4" x14ac:dyDescent="0.3">
      <c r="A27" s="70"/>
      <c r="B27" s="70"/>
      <c r="C27" s="70"/>
      <c r="D27" s="70"/>
    </row>
    <row r="28" spans="1:4" x14ac:dyDescent="0.3">
      <c r="A28" s="70"/>
      <c r="B28" s="70"/>
      <c r="C28" s="70"/>
      <c r="D28" s="70"/>
    </row>
    <row r="29" spans="1:4" x14ac:dyDescent="0.3">
      <c r="A29" s="70"/>
      <c r="B29" s="70"/>
      <c r="C29" s="70"/>
      <c r="D29" s="70"/>
    </row>
    <row r="30" spans="1:4" x14ac:dyDescent="0.3">
      <c r="A30" s="70"/>
      <c r="B30" s="70"/>
      <c r="C30" s="70"/>
      <c r="D30" s="70"/>
    </row>
    <row r="31" spans="1:4" x14ac:dyDescent="0.3">
      <c r="A31" s="70"/>
      <c r="B31" s="70"/>
      <c r="C31" s="70"/>
      <c r="D31" s="70"/>
    </row>
    <row r="32" spans="1:4" x14ac:dyDescent="0.3">
      <c r="A32" s="70"/>
      <c r="B32" s="70"/>
      <c r="C32" s="70"/>
      <c r="D32" s="70"/>
    </row>
    <row r="33" spans="1:4" x14ac:dyDescent="0.3">
      <c r="A33" s="70"/>
      <c r="B33" s="70"/>
      <c r="C33" s="70"/>
      <c r="D33" s="70"/>
    </row>
    <row r="34" spans="1:4" x14ac:dyDescent="0.3">
      <c r="A34" s="70"/>
      <c r="B34" s="70"/>
      <c r="C34" s="70"/>
      <c r="D34" s="70"/>
    </row>
    <row r="35" spans="1:4" x14ac:dyDescent="0.3">
      <c r="A35" s="70"/>
      <c r="B35" s="70"/>
      <c r="C35" s="70"/>
      <c r="D35" s="70"/>
    </row>
    <row r="36" spans="1:4" x14ac:dyDescent="0.3">
      <c r="A36" s="70"/>
      <c r="B36" s="70"/>
      <c r="C36" s="70"/>
      <c r="D36" s="70"/>
    </row>
    <row r="37" spans="1:4" x14ac:dyDescent="0.3">
      <c r="A37" s="70"/>
      <c r="B37" s="70"/>
      <c r="C37" s="70"/>
      <c r="D37" s="70"/>
    </row>
    <row r="38" spans="1:4" x14ac:dyDescent="0.3">
      <c r="A38" s="70"/>
      <c r="B38" s="70"/>
      <c r="C38" s="70"/>
      <c r="D38" s="70"/>
    </row>
    <row r="39" spans="1:4" x14ac:dyDescent="0.3">
      <c r="A39" s="70"/>
      <c r="B39" s="70"/>
      <c r="C39" s="70"/>
      <c r="D39" s="70"/>
    </row>
    <row r="40" spans="1:4" x14ac:dyDescent="0.3">
      <c r="A40" s="70"/>
      <c r="B40" s="70"/>
      <c r="C40" s="70"/>
      <c r="D40" s="70"/>
    </row>
    <row r="41" spans="1:4" x14ac:dyDescent="0.3">
      <c r="A41" s="70"/>
      <c r="B41" s="70"/>
      <c r="C41" s="70"/>
      <c r="D41" s="70"/>
    </row>
  </sheetData>
  <dataValidations count="1">
    <dataValidation type="list" allowBlank="1" showInputMessage="1" showErrorMessage="1" sqref="C2:C41" xr:uid="{F443EC5B-F211-4329-983E-60BD86B9E5D3}">
      <formula1>$H$2:$H$4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>
      <selection activeCell="B8" sqref="B8"/>
    </sheetView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95" t="s">
        <v>32</v>
      </c>
      <c r="B1" s="95" t="s">
        <v>33</v>
      </c>
    </row>
    <row r="2" spans="1:2" x14ac:dyDescent="0.3">
      <c r="A2" s="70" t="s">
        <v>76</v>
      </c>
      <c r="B2" s="70" t="s">
        <v>78</v>
      </c>
    </row>
    <row r="3" spans="1:2" x14ac:dyDescent="0.3">
      <c r="A3" s="70" t="s">
        <v>77</v>
      </c>
      <c r="B3" s="70">
        <v>9078888888</v>
      </c>
    </row>
    <row r="4" spans="1:2" x14ac:dyDescent="0.3">
      <c r="A4" s="70"/>
      <c r="B4" s="70"/>
    </row>
    <row r="5" spans="1:2" x14ac:dyDescent="0.3">
      <c r="A5" s="70"/>
      <c r="B5" s="70"/>
    </row>
    <row r="6" spans="1:2" x14ac:dyDescent="0.3">
      <c r="A6" s="70"/>
      <c r="B6" s="70"/>
    </row>
    <row r="7" spans="1:2" x14ac:dyDescent="0.3">
      <c r="A7" s="70"/>
      <c r="B7" s="70"/>
    </row>
    <row r="8" spans="1:2" x14ac:dyDescent="0.3">
      <c r="A8" s="70"/>
      <c r="B8" s="70"/>
    </row>
    <row r="9" spans="1:2" x14ac:dyDescent="0.3">
      <c r="A9" s="70"/>
      <c r="B9" s="70"/>
    </row>
    <row r="10" spans="1:2" x14ac:dyDescent="0.3">
      <c r="A10" s="70"/>
      <c r="B10" s="70"/>
    </row>
    <row r="11" spans="1:2" x14ac:dyDescent="0.3">
      <c r="A11" s="70"/>
      <c r="B11" s="70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2026-05-05T16:31:43Z</dcterms:modified>
</cp:coreProperties>
</file>