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genet\helene\projects\softwares\crewman\"/>
    </mc:Choice>
  </mc:AlternateContent>
  <xr:revisionPtr revIDLastSave="0" documentId="13_ncr:1_{9BCE6E2F-8ABF-4B03-998C-6F7AEA15B4D9}" xr6:coauthVersionLast="47" xr6:coauthVersionMax="47" xr10:uidLastSave="{00000000-0000-0000-0000-000000000000}"/>
  <bookViews>
    <workbookView xWindow="28680" yWindow="1665" windowWidth="29040" windowHeight="15720" tabRatio="944" xr2:uid="{19575149-6688-42F2-88E3-84A9785EF7E3}"/>
  </bookViews>
  <sheets>
    <sheet name="Flight_inventory" sheetId="1" r:id="rId1"/>
    <sheet name="Daily_schedule" sheetId="11" r:id="rId2"/>
    <sheet name="Manifest" sheetId="12" r:id="rId3"/>
    <sheet name="List_plots" sheetId="3" r:id="rId4"/>
    <sheet name="List_hub" sheetId="7" r:id="rId5"/>
    <sheet name="List_crew_leaders" sheetId="4" r:id="rId6"/>
    <sheet name="List_crew_members" sheetId="5" r:id="rId7"/>
    <sheet name="List_heli_managers" sheetId="9" r:id="rId8"/>
    <sheet name="List_pilots" sheetId="6" r:id="rId9"/>
    <sheet name="List_gears" sheetId="8" r:id="rId10"/>
    <sheet name="List_phones" sheetId="15" r:id="rId11"/>
  </sheets>
  <definedNames>
    <definedName name="_xlnm.Print_Titles" localSheetId="1">Daily_schedule!$3:$3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7" i="8" l="1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8" i="8"/>
  <c r="B39" i="8"/>
  <c r="B40" i="8"/>
  <c r="B41" i="8"/>
  <c r="B2" i="8"/>
  <c r="A7" i="1"/>
  <c r="A12" i="1"/>
  <c r="A17" i="1"/>
  <c r="G9" i="1"/>
  <c r="F10" i="1"/>
  <c r="D5" i="1"/>
  <c r="A1" i="12"/>
  <c r="A1" i="11"/>
  <c r="G4" i="1"/>
  <c r="G5" i="1"/>
  <c r="G6" i="1"/>
  <c r="G3" i="1"/>
  <c r="G10" i="1"/>
  <c r="G11" i="1"/>
  <c r="G8" i="1"/>
  <c r="G14" i="1"/>
  <c r="G15" i="1"/>
  <c r="G16" i="1"/>
  <c r="G13" i="1"/>
  <c r="G19" i="1"/>
  <c r="G20" i="1"/>
  <c r="G21" i="1"/>
  <c r="G18" i="1"/>
  <c r="G24" i="1"/>
  <c r="G25" i="1"/>
  <c r="G26" i="1"/>
  <c r="G23" i="1"/>
  <c r="G49" i="1"/>
  <c r="G50" i="1"/>
  <c r="G51" i="1"/>
  <c r="G48" i="1"/>
  <c r="G44" i="1"/>
  <c r="G45" i="1"/>
  <c r="G46" i="1"/>
  <c r="G43" i="1"/>
  <c r="G39" i="1"/>
  <c r="G40" i="1"/>
  <c r="G41" i="1"/>
  <c r="G38" i="1"/>
  <c r="G34" i="1"/>
  <c r="G35" i="1"/>
  <c r="G36" i="1"/>
  <c r="G33" i="1"/>
  <c r="G30" i="1"/>
  <c r="G29" i="1"/>
  <c r="G31" i="1"/>
  <c r="G28" i="1"/>
  <c r="A25" i="1"/>
  <c r="H33" i="1"/>
  <c r="H49" i="1"/>
  <c r="H50" i="1"/>
  <c r="H51" i="1"/>
  <c r="H48" i="1"/>
  <c r="H45" i="1"/>
  <c r="H43" i="1"/>
  <c r="H44" i="1"/>
  <c r="H46" i="1"/>
  <c r="H41" i="1"/>
  <c r="H39" i="1"/>
  <c r="H40" i="1"/>
  <c r="H38" i="1"/>
  <c r="H35" i="1"/>
  <c r="H34" i="1"/>
  <c r="H36" i="1"/>
  <c r="H29" i="1"/>
  <c r="H30" i="1"/>
  <c r="H31" i="1"/>
  <c r="H28" i="1"/>
  <c r="H26" i="1"/>
  <c r="H24" i="1"/>
  <c r="H25" i="1"/>
  <c r="H23" i="1"/>
  <c r="H21" i="1"/>
  <c r="H19" i="1"/>
  <c r="H20" i="1"/>
  <c r="H18" i="1"/>
  <c r="H14" i="1"/>
  <c r="H15" i="1"/>
  <c r="H16" i="1"/>
  <c r="H13" i="1"/>
  <c r="H11" i="1"/>
  <c r="H9" i="1"/>
  <c r="H10" i="1"/>
  <c r="H8" i="1"/>
  <c r="H4" i="1"/>
  <c r="H5" i="1"/>
  <c r="H6" i="1"/>
  <c r="H3" i="1"/>
  <c r="F8" i="1"/>
  <c r="G2" i="9" l="1" a="1"/>
  <c r="G2" i="9" s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E5" i="1"/>
  <c r="F5" i="1"/>
  <c r="A6" i="1"/>
  <c r="B6" i="1"/>
  <c r="C6" i="1"/>
  <c r="D6" i="1"/>
  <c r="E6" i="1"/>
  <c r="F6" i="1"/>
  <c r="A8" i="1"/>
  <c r="B8" i="1"/>
  <c r="C8" i="1"/>
  <c r="D8" i="1"/>
  <c r="E8" i="1"/>
  <c r="A9" i="1"/>
  <c r="B9" i="1"/>
  <c r="C9" i="1"/>
  <c r="D9" i="1"/>
  <c r="E9" i="1"/>
  <c r="F9" i="1"/>
  <c r="A10" i="1"/>
  <c r="B10" i="1"/>
  <c r="C10" i="1"/>
  <c r="D10" i="1"/>
  <c r="E10" i="1"/>
  <c r="A11" i="1"/>
  <c r="B11" i="1"/>
  <c r="C11" i="1"/>
  <c r="D11" i="1"/>
  <c r="E11" i="1"/>
  <c r="F11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8" i="1"/>
  <c r="B18" i="1"/>
  <c r="C18" i="1"/>
  <c r="D18" i="1"/>
  <c r="E18" i="1"/>
  <c r="F18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3" i="1"/>
  <c r="B23" i="1"/>
  <c r="C23" i="1"/>
  <c r="D23" i="1"/>
  <c r="E23" i="1"/>
  <c r="F23" i="1"/>
  <c r="B24" i="1"/>
  <c r="C24" i="1"/>
  <c r="D24" i="1"/>
  <c r="E24" i="1"/>
  <c r="F24" i="1"/>
  <c r="B25" i="1"/>
  <c r="C25" i="1"/>
  <c r="D25" i="1"/>
  <c r="E25" i="1"/>
  <c r="F25" i="1"/>
  <c r="A26" i="1"/>
  <c r="B26" i="1"/>
  <c r="C26" i="1"/>
  <c r="D26" i="1"/>
  <c r="E26" i="1"/>
  <c r="F26" i="1"/>
  <c r="A28" i="1"/>
  <c r="B28" i="1"/>
  <c r="C28" i="1"/>
  <c r="D28" i="1"/>
  <c r="E28" i="1"/>
  <c r="F28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47" i="1"/>
  <c r="A42" i="1"/>
  <c r="A37" i="1"/>
  <c r="A27" i="1"/>
  <c r="A29" i="1" s="1"/>
  <c r="A22" i="1"/>
  <c r="A24" i="1" s="1"/>
  <c r="A19" i="1"/>
  <c r="A4" i="11" a="1"/>
  <c r="A4" i="11" l="1"/>
  <c r="A3" i="12" a="1"/>
  <c r="A3" i="1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import math
### Table length (i.e. number of raws) per flight and drop off
### THAT NUMBER HAS TO BE &gt;= 5
nr = 5
### Create a datafrane without empty lines from the Flight_plot inputs
inputs = pd.DataFrame(xl(%P2%, headers=True))
inputs = inputs.rename(columns={inputs.columns[0]: 'Date'})
inputs = inputs.reset_index(drop=True)
inputs.dropna(subset=['Plot'], inplace=True)
### Compute the number of drop offs per flight
ndfl = pd.DataFrame(inputs.groupby(['Date', 'Hub', 'Flight number', 'Pilot', 'Heli manager',
       'Going to the plot?'])['Drop off'].count())
ndfl.reset_index(inplace=True)
ndfl = ndfl.rename(columns={'Drop off':'ndf'})
ndfl = ndfl.sort_values(by='Flight number')
ndfl.reset_index(inplace=True,drop=True)
### Merge this info back to the inputs dataframe
inputs = pd.merge(inputs,ndfl,how='outer',on=['Date', 'Hub', 'Flight number', 'Pilot', 'Heli manager',
       'Going to the plot?'])
inputs = inputs.sort_values(by=['Flight number','Drop off'])
inputs.reset_index(inplace=True,drop=True)
### Building the flight column list with the helicopter manager name
listfn = ndfl['Flight number'].tolist()
listfn
for i in range(ndfl.shape[0]):
	if i == 0:
		cndf=0
	else:
		cndf=cndf + ndfl['ndf'][i-1]
	k = (nr*cndf)+1
	for j in range(nr*ndfl['ndf'][i]-1):
		if j == (nr*ndfl['ndf'][i]-1) - 2:
			listfn.insert(k, "Pilot: " + ndfl['Pilot'][i])
		elif j == (nr*ndfl['ndf'][i]-1) - 3:
			listfn.insert(k, "HM: " + ndfl['Heli manager'][i])
		else:
			listfn.insert(k, "")  
### Building the drop off order list
listdo = inputs['Drop off'].tolist()
for i in range(inputs.shape[0]):
	k = (i*nr)+1
	for j in range(nr-1):
		listdo.insert(k, "")  
### Read in plot information
plots = pd.DataFrame(xl(%P3%, headers=True))
plots = plots.rename(columns={plots.columns[0]: 'plot number'})
plots = plots.reset_index(drop=True)
plots.dropna(subset=['plot number'], inplace=True)
### Merge to the inputs
inputs = pd.merge(inputs,plots,how = 'left', left_on  = 'Plot', right_on = 'plot number')
### Building the plot list with topo information
listplt = inputs['Plot'].tolist()
for i in range(inputs.shape[0]):
	pn = inputs['Plot'].tolist()[i]
	k = (i*nr)+1
	for j in range(nr-1):
		if j == (nr - 3):
			listplt.insert(k, "Elev: " + str(int(inputs['elevation'][i])) + ' ft')
		else:
			listplt.insert(k, "")  
### Building the owner and county column
listown = inputs['owner'].tolist()
for i in range(inputs.shape[0]):
	pn = inputs['Plot'].tolist()[i]
	k = (i*nr)+1
	for j in range(nr-1):
		if j == (nr - 3):
			listown.insert(k, "Cnty: " + str(inputs['county'][i]))
		else:
			listown.insert(k, "")  
### Building the crew column
inputs['Heli manager2'] = np.where(inputs['Going to the plot?'] == "yes", inputs['Heli manager'],"")
listcrew = []
for i in range(inputs.shape[0]):
	pn = inputs['Plot'].tolist()[i]
	lc = inputs[inputs['Plot'] == pn][['Crew leader','Heli manager2','Crew member 1', 'Crew member 2', 'Crew member 3', 'Crew member 4']]
	lc = lc.to_numpy().tolist()[0] 
	lc = pd.Series(lc).dropna().tolist()
	lc = list(dict.fromkeys(lc))
	if len(lc) &lt; nr:
		for j in range(nr - len(lc)):
			lc.insert(len(lc),"")
	listcrew = listcrew + lc
### Building the phone column
phones = pd.DataFrame(xl(%P4%, headers=True))
phones = phones.rename(columns={phones.columns[0]: 'Phone color'})
phones = phones.reset_index(drop=True)
listphone = []
for i in range(inputs.shape[0]):
	pn = inputs['Plot'].tolist()[i]
	clr = inputs[inputs['Plot'] == pn]['Phone'].tolist()[0]
	lc = [clr]
#	lc[0] = f"\033[1;4m{lc[0]}\033[0m"
	if len(lc) &lt; nr:
		for j in range(nr - len(lc)):
			if j == (nr - 5):
				lc.insert(len(lc), phones[phones['Phone color'] == clr]['Phone number'].tolist()[0])
			else:
				lc.insert(len(lc),"")
	listphone = listphone + lc
### Read in plot information
hubs = pd.DataFrame(xl(%P5%, headers=True))
hubs = hubs.rename(columns={hubs.columns[0]: 'hub name'})
hubs = hubs.reset_index(drop=True)
### Merge to the inputs
inputs = pd.merge(inputs,hubs,how = 'left', left_on  = 'Hub', right_on = 'hub name')
## Get coordinates from previous plots for multi drop-off flights
inputs = inputs.sort_values(by=['Flight number','Drop off'])
inputs.reset_index(inplace=True,drop=True)
inputs['plotlat1'] = inputs.groupby(['Flight number'])['plot latitude (decimal degree)'].shift(1)
inputs['plotlon1'] = inputs.groupby(['Flight number'])['plot longitude (decimal degree)'].shift(1)
### Building the distance from hub and previous plot in miles column (Haversine Formula can have an error of up to 0.5%%), 
## and the bearings from hub and previous plots
listdisthub = []
listazhub = []
for i in range(inputs.shape[0]):
	pn = inputs['Plot'].tolist()[i]
	lat1 = inputs[inputs['Plot'] == pn]['hub latitude (decimal degree)'].tolist()[0]
	lon1 = inputs[inputs['Plot'] == pn]['hub longitude (decimal degree)'].tolist()[0]
	lat2 = inputs[inputs['Plot'] == pn]['plotlat1'].tolist()[0]
	lon2 = inputs[inputs['Plot'] == pn]['plotlon1'].tolist()[0]
	lat3 = inputs[inputs['Plot'] == pn]['plot latitude (decimal degree)'].tolist()[0]
	lon3 = inputs[inputs['Plot'] == pn]['plot longitude (decimal degree)'].tolist()[0]
	# Radius of Earth in kilometers
	R = 6371.0
	# Convert degrees to radians
	phi1, phi2 = math.radians(lat1), math.radians(lat3)
	dphi = math.radians(lat3 - lat1)
	dlambda = math.radians(lon3 - lon1)
	# Haversine formula
	a = math.sin(dphi/2)**2 + math.cos(phi1) * math.cos(phi2) * math.sin(dlambda/2)**2
	c = 2 * math.atan2(math.sqrt(a), math.sqrt(1 - a))
	d = round(R*c*0.621371, 1)
	dist_ml_hub_plot = [int(d)]
	# Convert degrees to radians
	phi1, phi2 = math.radians(lat2), math.radians(lat3)
	dphi = math.radians(lat3 - lat2)
	dlambda = math.radians(lon3 - lon2)
	# Haversine formula
	a = math.sin(dphi/2)**2 + math.cos(phi1) * math.cos(phi2) * math.sin(dlambda/2)**2
	c = 2 * math.atan2(math.sqrt(a), math.sqrt(1 - a))
	dist_ml_plot_plot = R*c*0.621371
	if len(dist_ml_hub_plot) &lt; nr:
		for j in range(nr - len(dist_ml_hub_plot)):
			if j == (nr - 4):
				if dist_ml_plot_plot &gt; 0:
					dist_ml_hub_plot.insert(len(dist_ml_hub_plot), "Prev. plot: " + str(int(dist_ml_plot_plot)))
				else:
					dist_ml_hub_plot.insert(len(dist_ml_hub_plot), "")
			else:
				dist_ml_hub_plot.insert(len(dist_ml_hub_plot), "")  
	listdisthub = listdisthub + dist_ml_hub_plot
	## Azimuth from hub to plot
	lat1, lon1, lat3, lon3 = map(math.radians, [lat1, lon1, lat3, lon3])
	d_lon = lon3 - lon1
	y = math.sin(d_lon) * math.cos(lat3)
	x = math.cos(lat1) * math.sin(lat3) - (math.sin(lat1) * math.cos(lat3) * math.cos(d_lon))
	# atan2 returns value in [-pi, pi]; convert to [0, 360]
	bearing = math.atan2(y, x)
	az_h2p = [int((math.degrees(bearing) + 360) %% 360)]
	## Azimuth from previous plot to plot
	lat2, lon2, lat3, lon3 = map(math.radians, [lat2, lon2, lat3, lon3])
	d_lon = lon3 - lon2
	y = math.sin(d_lon) * math.cos(lat3)
	x = math.cos(lat2) * math.sin(lat3) - (math.sin(lat2) * math.cos(lat3) * math.cos(d_lon))
	bearing = math.atan2(y, x)
	az_p2p = (math.degrees(bearing) + 360) %% 360
	if len(az_h2p) &lt; nr:
		for j in range(nr - len(az_h2p)):
			if j == (nr - 4):
				if az_p2p &gt; 0:
					az_h2p.insert(len(az_h2p), "Prev. plot: " + str(int(az_p2p)))
				else:
					az_h2p.insert(len(az_h2p), "")
			else:
				az_h2p.insert(len(az_h2p), "")  
	listazhub = listazhub + az_h2p
### Building the plot's coordinates list 
inputs['coords'] = '(' + inputs['plot latitude (decimal degree)'].astype(str) + ';' + inputs['plot longitude (decimal degree)'].astype(str) + ')'
listcoords = inputs['coords'].tolist()
for i in range(inputs.shape[0]):
	pn = inputs['coords'].tolist()[i]
	k = (i*nr)+1
	for j in range(nr-1):
		listcoords.insert(k, "")  
### Building the plot's notes
listnotes = inputs['Notes'].fillna("").tolist()
for i in range(inputs.shape[0]):
	pn = inputs['Notes'].tolist()[i]
	k = (i*nr)+1
	for j in range(nr-1):
		listnotes.insert(k, "")  
np.column_stack((listfn, listdo, listplt, listown, listcrew, listphone, listdisthub,listazhub, listcoords, listnotes))
</code>
    </pythonScript>
    <pythonScript>
      <code xml:space="preserve">import os
import pandas as pd
import numpy as np
import math
### MAX NUMBER OF PASSENGERS PER HELO.
npssg = 5
### LEMGTH OF FLIGHT SECTIONS
nr = 13
### List of headers
headerlist = ['Names','Description','Weight (lbs)']
### Create a dataframe without empty lines from the Flight_plot inputs
inputs = xl(%P2%, headers=True)
inputs = inputs.reset_index(drop=True)
inputs.dropna(subset=['Plot'], inplace=True)
### Read in gear data
gears = xl(%P3%, headers=True)
gears = gears.rename(columns={gears.columns[0]: 'gearname'})
gears = gears.reset_index(drop=True)
gears.dropna(subset=['gearname'], inplace=True)
### Read in crew lead data
cllist = xl(%P4%, headers=True)
cllist = cllist.rename(columns={cllist.columns[0]: 'name'})
cllist = cllist.reset_index(drop=True)
cllist.dropna(subset=['name'], inplace=True)
### Read in crea member data
cmlist = xl(%P5%, headers=True)
cmlist = cmlist.rename(columns={cmlist.columns[0]: 'name'})
cmlist = cmlist.reset_index(drop=True)
cmlist.dropna(subset=['name'], inplace=True)
clist = pd.concat([cllist,cmlist],axis=0)
### Compute the number of drop offs per flight
inputs['Date'] = inputs['Date'].fillna("")
inputs['Hub'] = inputs['Hub'].fillna("")
inputs['Flight number'] = inputs['Flight number'].fillna("")
inputs['Pilot'] = inputs['Pilot'].fillna("")
inputs['Heli manager'] = inputs['Heli manager'].fillna("")
inputs['Going to the plot?'] = inputs['Going to the plot?'].fillna("")
inputs['Hazardous materials'] = inputs['Hazardous materials'].fillna("")
inputs['Extra weight (lbs)?'] = inputs['Extra weight (lbs)?'].fillna("")
ndfl = pd.DataFrame(inputs.groupby(['Date', 'Hub', 'Flight number', 'Pilot', 'Heli manager','Going to the plot?','Hazardous materials','Extra weight (lbs)?'])['Drop off'].count())
ndfl.reset_index(inplace=True)
ndfl = ndfl.rename(columns={'Drop off':'ndf'})
ndfl = ndfl.sort_values(by='Flight number')
ndfl.reset_index(inplace=True,drop=True)
### Building the flight column list with the helicopter manager name
inputs['Heli manager2'] = np.where(inputs['Going to the plot?'] == "yes", inputs['Heli manager'],"")
listfn = ndfl['Flight number'].astype(int).tolist()
listfn = ['Flight ' + str(item) for item in listfn]
listflt = []
for i in range(len(listfn)):
	flt = [listfn[i]]
	lc = inputs[inputs['Flight number'] == float(listfn[i].removeprefix("Flight "))][['Crew leader','Heli manager2','Crew member 1', 'Crew member 2', 'Crew member 3', 'Crew member 4']]
	lc = lc.to_numpy().tolist()
	lcf = [item for sublist in lc for item in sublist]
	lcf = pd.Series(lcf).dropna().tolist()
	lcf = list(dict.fromkeys(lcf))
	lcf = [s for s in lcf if s != '']
	for j in range(nr):
		if j == 1:
			flt.insert(j, str(headerlist[0]))
		elif j == 2:
			flt.insert(j, lcf)
		elif j == len(lcf)+2:
			flt.insert(j,"")
		elif j == len(lcf)+3:
			flt.insert(j,"Gears")
		elif j in range(len(lcf)+4,(nr-3)):
			flt.insert(j,"")
		elif j == (nr-3):
			flt.insert(j, listfn[i] + ' team load')
		elif j == (nr-2):
			flt.insert(j, 'Hazardous materials:')
		elif j == (nr-1):
			flt.insert(j,"")
	result = []
	for item in flt:
		if isinstance(item, list):
			result = result + item
		else:
			result.append(item)
	listflt = listflt+ result
### Building the description column 
listfn = ndfl['Flight number'].astype(int).tolist()
listfn = ['Flight ' + str(item) for item in listfn]
listdescr = []
for i in range(len(listfn)):
	descr = [""]
	lc = inputs[inputs['Flight number'] == float(listfn[i].removeprefix("Flight "))][['Crew leader','Heli manager2','Crew member 1', 'Crew member 2', 'Crew member 3', 'Crew member 4']]
	hm = lc['Heli manager2'].unique()[0]
	hazmat = inputs[inputs['Flight number'] == float(listfn[i].removeprefix("Flight "))]['Hazardous materials'].unique()[0]
	lc = lc.to_numpy().tolist()
	lcf = [item for sublist in lc for item in sublist]
	lcf = pd.Series(lcf).dropna().tolist()
	lcf = list(dict.fromkeys(lcf))
	lcf = [s for s in lcf if s != '']
	lhm = ['' if x != hm else 'Helo manager' for x in lcf]
	for j in range(nr):
		if j == 1:
			descr.insert(j, str(headerlist[1]))
		elif j == 2:
			descr.insert(j, lhm)
		elif j == len(lhm)+2:
			descr.insert(j,"")
		elif j == len(lhm)+3:
			descr.insert(j,"standard gear list + extra weight")
		elif j in range(len(lhm)+4,(nr-2)):
			descr.insert(j,"")
		elif j == (nr-2):
			descr.insert(j, hazmat)
		elif j == (nr-1):
			descr.insert(j,"")
	result = []
	for item in descr:
		if isinstance(item, list):
			result = result + item
		else:
			result.append(item)
	listdescr = listdescr+ result
### Building the weights column 
listfn = ndfl['Flight number'].astype(int).tolist()
listfn = ['Flight ' + str(item) for item in listfn]
listweight = []
for i in range(len(listfn)):
	wgt = [""]
	ndo = ndfl[ndfl['Flight number'] == float(listfn[i].removeprefix("Flight "))]['ndf'].values[0]
	lc = inputs[inputs['Flight number'] == float(listfn[i].removeprefix("Flight "))][['Crew leader','Heli manager2','Crew member 1', 'Crew member 2', 'Crew member 3', 'Crew member 4']]
	lc = lc.to_numpy().tolist()
	lcf = [item for sublist in lc for item in sublist]
	lcf = pd.Series(lcf).dropna().tolist()
	lcf = list(dict.fromkeys(lcf))
	lcf = [s for s in lcf if s != '']
	wlist = []
	for nm in lcf:
		print(nm)
		if nm in clist['name'].tolist():
			print(nm)
			m = clist[clist['name'] == nm]['Flight weight (pds)'].values[0]
		else:
			m = 0
		wlist.append(m)
	wgear_ndo = ndo*(gears[gears['gearname'] == 'Bivi  emergency bag']['Flight weight (pds)'].values[0] + gears[gears['gearname'] == 'Soil bag']['Flight weight (pds)'].values[0] + gears[gears['gearname'] == 'Gun']['Flight weight (pds)'].values[0] + gears[gears['gearname'] == 'Bear spray / ammo can']['Flight weight (pds)'].values[0] + gears[gears['gearname'] == 'Sachel']['Flight weight (pds)'].values[0])
	wgear_crew = len(lcf)*(gears[gears['gearname'] == 'Personal back pack']['Flight weight (pds)'].values[0] + gears[gears['gearname'] == 'Personal flight bag']['Flight weight (pds)'].values[0])
	extra = ndfl[ndfl['Flight number'] == float(listfn[i].removeprefix("Flight "))]['Extra weight (lbs)?'].values[0]
	if extra == '':
		extra = 0
	wgear = wgear_ndo + wgear_crew + extra
	for j in range(nr):
		if j == 1:
			wgt.insert(j, str(headerlist[2]))
		elif j == 2:
			wgt.insert(j, wlist)
		elif j == len(wlist)+2:
			wgt.insert(j,"")
		elif j == len(wlist)+3:
			wgt.insert(j,wgear)
		elif j in range(len(wlist)+4,(nr-3)):
			wgt.insert(j,'')
		elif j == (nr-3):
			wgt.insert(j, sum(wlist) + wgear)
		elif j &gt;= (nr-2):
			wgt.insert(j, '')
	result = []
	for item in wgt:
		if isinstance(item, list):
			result = result + item
		else:
			result.append(item)
	listweight = listweight+ result
np.column_stack((listflt, listdescr, listweight))
</code>
    </pythonScript>
  </pythonScripts>
</python>
</file>

<file path=xl/sharedStrings.xml><?xml version="1.0" encoding="utf-8"?>
<sst xmlns="http://schemas.openxmlformats.org/spreadsheetml/2006/main" count="111" uniqueCount="85">
  <si>
    <t>Flight number</t>
  </si>
  <si>
    <t>Heli manager</t>
  </si>
  <si>
    <t>Going to the plot?</t>
  </si>
  <si>
    <t>Hub</t>
  </si>
  <si>
    <t>Pilot</t>
  </si>
  <si>
    <t>Drop off</t>
  </si>
  <si>
    <t>Crew leader</t>
  </si>
  <si>
    <t>Crew member 1</t>
  </si>
  <si>
    <t>Crew member 2</t>
  </si>
  <si>
    <t>Crew member 3</t>
  </si>
  <si>
    <t>Crew member 4</t>
  </si>
  <si>
    <t>Notes</t>
  </si>
  <si>
    <t>Plot</t>
  </si>
  <si>
    <t>Name</t>
  </si>
  <si>
    <t>plot number</t>
  </si>
  <si>
    <t>Date</t>
  </si>
  <si>
    <t>owner</t>
  </si>
  <si>
    <t>plot latitude (decimal degree)</t>
  </si>
  <si>
    <t>plot longitude (decimal degree)</t>
  </si>
  <si>
    <t>landing zone latitude (decimal degree)</t>
  </si>
  <si>
    <t>landing zone longitude (decimal degree)</t>
  </si>
  <si>
    <t>slope</t>
  </si>
  <si>
    <t>aspect</t>
  </si>
  <si>
    <t>name</t>
  </si>
  <si>
    <t>PREV_INV_YEAR</t>
  </si>
  <si>
    <t>PlotCover</t>
  </si>
  <si>
    <t>PRIORITY</t>
  </si>
  <si>
    <t>NEAR_HUB</t>
  </si>
  <si>
    <t>Description</t>
  </si>
  <si>
    <t>yes</t>
  </si>
  <si>
    <t>no</t>
  </si>
  <si>
    <t>Drop off order</t>
  </si>
  <si>
    <t>Phone</t>
  </si>
  <si>
    <t>Phone color</t>
  </si>
  <si>
    <t>Phone number</t>
  </si>
  <si>
    <t>county</t>
  </si>
  <si>
    <t>elevation</t>
  </si>
  <si>
    <t>hub latitude (decimal degree)</t>
  </si>
  <si>
    <t>hub longitude (decimal degree)</t>
  </si>
  <si>
    <t>Combined list of crew leads and members [automated]</t>
  </si>
  <si>
    <t>Coordinates</t>
  </si>
  <si>
    <r>
      <t xml:space="preserve">Plot        </t>
    </r>
    <r>
      <rPr>
        <sz val="10"/>
        <color theme="1"/>
        <rFont val="Aptos Narrow"/>
        <family val="2"/>
        <scheme val="minor"/>
      </rPr>
      <t>Elevation (ft)</t>
    </r>
  </si>
  <si>
    <r>
      <t xml:space="preserve">Owner             </t>
    </r>
    <r>
      <rPr>
        <sz val="10"/>
        <color theme="1"/>
        <rFont val="Aptos Narrow"/>
        <family val="2"/>
        <scheme val="minor"/>
      </rPr>
      <t>County</t>
    </r>
  </si>
  <si>
    <t>Crew (lead in bold)</t>
  </si>
  <si>
    <r>
      <t xml:space="preserve">Sat Phone Color  </t>
    </r>
    <r>
      <rPr>
        <sz val="10"/>
        <color theme="1"/>
        <rFont val="Aptos Narrow"/>
        <family val="2"/>
        <scheme val="minor"/>
      </rPr>
      <t>Number</t>
    </r>
  </si>
  <si>
    <t>Dist. from hub   (mile)</t>
  </si>
  <si>
    <t>Azimuth to plot</t>
  </si>
  <si>
    <r>
      <t xml:space="preserve">Flight #                                </t>
    </r>
    <r>
      <rPr>
        <sz val="10"/>
        <color theme="1"/>
        <rFont val="Aptos Narrow"/>
        <family val="2"/>
        <scheme val="minor"/>
      </rPr>
      <t>Heli Manager</t>
    </r>
  </si>
  <si>
    <t>Hazardous materials</t>
  </si>
  <si>
    <t>Extra weight (lbs)?</t>
  </si>
  <si>
    <t>Flight weight (lbs)</t>
  </si>
  <si>
    <t>Soil bag</t>
  </si>
  <si>
    <t>Gun</t>
  </si>
  <si>
    <t>Bear spray / ammo can</t>
  </si>
  <si>
    <t>Sachel</t>
  </si>
  <si>
    <t>Personal back pack</t>
  </si>
  <si>
    <t>List of gears category</t>
  </si>
  <si>
    <t>Personal flight bag</t>
  </si>
  <si>
    <t>Bivi  emergency bag</t>
  </si>
  <si>
    <t>One per team</t>
  </si>
  <si>
    <t>One per person</t>
  </si>
  <si>
    <t>c1</t>
  </si>
  <si>
    <t>o100</t>
  </si>
  <si>
    <t>HIGH</t>
  </si>
  <si>
    <t>GALENA</t>
  </si>
  <si>
    <t>Forest</t>
  </si>
  <si>
    <t>c2</t>
  </si>
  <si>
    <t>o101</t>
  </si>
  <si>
    <t>c3</t>
  </si>
  <si>
    <t>o102</t>
  </si>
  <si>
    <t>hub1</t>
  </si>
  <si>
    <t>hub2</t>
  </si>
  <si>
    <t>hub3</t>
  </si>
  <si>
    <t>p1</t>
  </si>
  <si>
    <t>p2</t>
  </si>
  <si>
    <t>p3</t>
  </si>
  <si>
    <t>cl1</t>
  </si>
  <si>
    <t>cl2</t>
  </si>
  <si>
    <t>cl3</t>
  </si>
  <si>
    <t>cm1</t>
  </si>
  <si>
    <t>cm2</t>
  </si>
  <si>
    <t>cm3</t>
  </si>
  <si>
    <t>red</t>
  </si>
  <si>
    <t>blue</t>
  </si>
  <si>
    <t>907-699-9999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</si>
</sst>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1080"/>
      <name val="Consolas"/>
      <family val="3"/>
    </font>
    <font>
      <b/>
      <sz val="1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0" tint="-0.499984740745262"/>
      <name val="Aptos Display"/>
      <family val="2"/>
      <scheme val="major"/>
    </font>
    <font>
      <b/>
      <sz val="11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5" xfId="0" applyBorder="1"/>
    <xf numFmtId="0" fontId="0" fillId="0" borderId="29" xfId="0" applyBorder="1"/>
    <xf numFmtId="0" fontId="0" fillId="0" borderId="6" xfId="0" applyBorder="1"/>
    <xf numFmtId="0" fontId="0" fillId="0" borderId="30" xfId="0" applyBorder="1"/>
    <xf numFmtId="0" fontId="0" fillId="0" borderId="31" xfId="0" applyBorder="1"/>
    <xf numFmtId="0" fontId="3" fillId="0" borderId="4" xfId="0" applyFont="1" applyBorder="1"/>
    <xf numFmtId="0" fontId="3" fillId="0" borderId="28" xfId="0" applyFont="1" applyBorder="1"/>
    <xf numFmtId="0" fontId="3" fillId="0" borderId="0" xfId="0" applyFont="1"/>
    <xf numFmtId="0" fontId="3" fillId="0" borderId="27" xfId="0" applyFont="1" applyBorder="1"/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34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36" xfId="0" applyFill="1" applyBorder="1" applyAlignment="1">
      <alignment horizontal="center" vertical="center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3" borderId="31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Alignment="1" applyProtection="1">
      <alignment horizontal="center" vertical="center"/>
      <protection locked="0"/>
    </xf>
    <xf numFmtId="0" fontId="0" fillId="3" borderId="34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3" xfId="0" applyFill="1" applyBorder="1" applyAlignment="1" applyProtection="1">
      <alignment horizontal="center" vertical="center"/>
      <protection locked="0"/>
    </xf>
    <xf numFmtId="0" fontId="0" fillId="3" borderId="28" xfId="0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5" xfId="0" applyFill="1" applyBorder="1" applyAlignment="1" applyProtection="1">
      <alignment horizontal="center" vertical="center"/>
      <protection locked="0"/>
    </xf>
    <xf numFmtId="14" fontId="0" fillId="3" borderId="26" xfId="0" applyNumberFormat="1" applyFill="1" applyBorder="1" applyAlignment="1" applyProtection="1">
      <alignment horizontal="center" vertical="center"/>
      <protection locked="0"/>
    </xf>
    <xf numFmtId="0" fontId="0" fillId="3" borderId="36" xfId="0" applyFill="1" applyBorder="1" applyAlignment="1">
      <alignment horizontal="center" vertical="center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17" xfId="0" applyFill="1" applyBorder="1" applyAlignment="1" applyProtection="1">
      <alignment horizontal="center" vertical="center"/>
      <protection locked="0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3" borderId="34" xfId="0" applyFill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center" vertical="center"/>
      <protection locked="0"/>
    </xf>
    <xf numFmtId="0" fontId="0" fillId="2" borderId="34" xfId="0" applyFill="1" applyBorder="1" applyAlignment="1" applyProtection="1">
      <alignment horizontal="center" vertical="center"/>
      <protection locked="0"/>
    </xf>
    <xf numFmtId="0" fontId="0" fillId="2" borderId="36" xfId="0" applyFill="1" applyBorder="1" applyAlignment="1" applyProtection="1">
      <alignment horizontal="center" vertical="center"/>
      <protection locked="0"/>
    </xf>
    <xf numFmtId="14" fontId="0" fillId="3" borderId="2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12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center" vertical="center"/>
    </xf>
    <xf numFmtId="0" fontId="12" fillId="0" borderId="0" xfId="0" applyFont="1"/>
    <xf numFmtId="0" fontId="12" fillId="0" borderId="48" xfId="0" applyFont="1" applyBorder="1"/>
    <xf numFmtId="0" fontId="13" fillId="0" borderId="0" xfId="0" applyFont="1" applyAlignment="1">
      <alignment vertical="center"/>
    </xf>
    <xf numFmtId="0" fontId="14" fillId="0" borderId="0" xfId="0" applyFont="1"/>
    <xf numFmtId="0" fontId="3" fillId="0" borderId="1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14" fontId="3" fillId="3" borderId="22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14" fontId="3" fillId="3" borderId="26" xfId="0" applyNumberFormat="1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5111-BCAA-4350-8D07-B666D66AFC22}">
  <sheetPr>
    <tabColor theme="6" tint="0.79998168889431442"/>
  </sheetPr>
  <dimension ref="A1:Q51"/>
  <sheetViews>
    <sheetView tabSelected="1" workbookViewId="0">
      <selection activeCell="C4" sqref="C4"/>
    </sheetView>
  </sheetViews>
  <sheetFormatPr defaultRowHeight="14.4" x14ac:dyDescent="0.3"/>
  <cols>
    <col min="1" max="1" width="9.33203125" style="30" bestFit="1" customWidth="1"/>
    <col min="2" max="2" width="12" style="30" customWidth="1"/>
    <col min="3" max="3" width="12.88671875" style="30" bestFit="1" customWidth="1"/>
    <col min="4" max="4" width="12.88671875" style="30" customWidth="1"/>
    <col min="5" max="5" width="13.5546875" style="30" bestFit="1" customWidth="1"/>
    <col min="6" max="6" width="16" style="30" bestFit="1" customWidth="1"/>
    <col min="7" max="7" width="16" style="30" customWidth="1"/>
    <col min="8" max="8" width="17.77734375" style="30" bestFit="1" customWidth="1"/>
    <col min="9" max="9" width="7.77734375" style="30" bestFit="1" customWidth="1"/>
    <col min="10" max="10" width="6" style="30" bestFit="1" customWidth="1"/>
    <col min="11" max="11" width="6.5546875" style="30" bestFit="1" customWidth="1"/>
    <col min="12" max="12" width="11" style="30" bestFit="1" customWidth="1"/>
    <col min="13" max="16" width="14.109375" style="30" bestFit="1" customWidth="1"/>
    <col min="17" max="17" width="11" style="30" bestFit="1" customWidth="1"/>
    <col min="18" max="16384" width="8.88671875" style="30"/>
  </cols>
  <sheetData>
    <row r="1" spans="1:17" s="58" customFormat="1" ht="15" thickBot="1" x14ac:dyDescent="0.35">
      <c r="A1" s="100" t="s">
        <v>15</v>
      </c>
      <c r="B1" s="101" t="s">
        <v>3</v>
      </c>
      <c r="C1" s="101" t="s">
        <v>0</v>
      </c>
      <c r="D1" s="101" t="s">
        <v>4</v>
      </c>
      <c r="E1" s="101" t="s">
        <v>1</v>
      </c>
      <c r="F1" s="102" t="s">
        <v>2</v>
      </c>
      <c r="G1" s="102" t="s">
        <v>49</v>
      </c>
      <c r="H1" s="103" t="s">
        <v>48</v>
      </c>
      <c r="I1" s="104" t="s">
        <v>5</v>
      </c>
      <c r="J1" s="101" t="s">
        <v>12</v>
      </c>
      <c r="K1" s="101" t="s">
        <v>32</v>
      </c>
      <c r="L1" s="101" t="s">
        <v>6</v>
      </c>
      <c r="M1" s="101" t="s">
        <v>7</v>
      </c>
      <c r="N1" s="101" t="s">
        <v>8</v>
      </c>
      <c r="O1" s="101" t="s">
        <v>9</v>
      </c>
      <c r="P1" s="101" t="s">
        <v>10</v>
      </c>
      <c r="Q1" s="105" t="s">
        <v>11</v>
      </c>
    </row>
    <row r="2" spans="1:17" s="74" customFormat="1" x14ac:dyDescent="0.3">
      <c r="A2" s="109"/>
      <c r="B2" s="110"/>
      <c r="C2" s="106">
        <v>1</v>
      </c>
      <c r="D2" s="110"/>
      <c r="E2" s="110"/>
      <c r="F2" s="111"/>
      <c r="G2" s="112"/>
      <c r="H2" s="110"/>
      <c r="I2" s="32">
        <v>1</v>
      </c>
      <c r="J2" s="31"/>
      <c r="K2" s="31"/>
      <c r="L2" s="31"/>
      <c r="M2" s="31"/>
      <c r="N2" s="31"/>
      <c r="O2" s="31"/>
      <c r="P2" s="31"/>
      <c r="Q2" s="33"/>
    </row>
    <row r="3" spans="1:17" s="74" customFormat="1" x14ac:dyDescent="0.3">
      <c r="A3" s="75" t="str">
        <f>IF(ISBLANK(J3),"",A$2)</f>
        <v/>
      </c>
      <c r="B3" s="76" t="str">
        <f>IF(ISBLANK(J3),"",B$2)</f>
        <v/>
      </c>
      <c r="C3" s="76" t="str">
        <f>IF(ISBLANK(J3),"",C$2)</f>
        <v/>
      </c>
      <c r="D3" s="76" t="str">
        <f>IF(ISBLANK(J3),"",D$2)</f>
        <v/>
      </c>
      <c r="E3" s="76" t="str">
        <f>IF(ISBLANK(J3),"",E$2)</f>
        <v/>
      </c>
      <c r="F3" s="76" t="str">
        <f>IF(ISBLANK(J3),"",F$2)</f>
        <v/>
      </c>
      <c r="G3" s="77" t="str">
        <f>IF(ISBLANK(J3),"",IF(ISBLANK(G$2),"",G$2))</f>
        <v/>
      </c>
      <c r="H3" s="78" t="str">
        <f>IF(ISBLANK(J3),"",IF(ISBLANK(H$2),"",H$2))</f>
        <v/>
      </c>
      <c r="I3" s="85">
        <v>2</v>
      </c>
      <c r="J3" s="35"/>
      <c r="K3" s="35"/>
      <c r="L3" s="35"/>
      <c r="M3" s="35"/>
      <c r="N3" s="35"/>
      <c r="O3" s="35"/>
      <c r="P3" s="35"/>
      <c r="Q3" s="36"/>
    </row>
    <row r="4" spans="1:17" s="74" customFormat="1" x14ac:dyDescent="0.3">
      <c r="A4" s="75" t="str">
        <f>IF(ISBLANK(J4),"",A$2)</f>
        <v/>
      </c>
      <c r="B4" s="76" t="str">
        <f>IF(ISBLANK(J4),"",B$2)</f>
        <v/>
      </c>
      <c r="C4" s="76" t="str">
        <f>IF(ISBLANK(J4),"",C$2)</f>
        <v/>
      </c>
      <c r="D4" s="76" t="str">
        <f>IF(ISBLANK(J4),"",D$2)</f>
        <v/>
      </c>
      <c r="E4" s="76" t="str">
        <f>IF(ISBLANK(J4),"",E$2)</f>
        <v/>
      </c>
      <c r="F4" s="76" t="str">
        <f>IF(ISBLANK(J4),"",F$2)</f>
        <v/>
      </c>
      <c r="G4" s="76" t="str">
        <f t="shared" ref="G4:G6" si="0">IF(ISBLANK(J4),"",IF(ISBLANK(G$2),"",G$2))</f>
        <v/>
      </c>
      <c r="H4" s="79" t="str">
        <f t="shared" ref="H4:H6" si="1">IF(ISBLANK(J4),"",IF(ISBLANK(H$2),"",H$2))</f>
        <v/>
      </c>
      <c r="I4" s="85">
        <v>3</v>
      </c>
      <c r="J4" s="35"/>
      <c r="K4" s="35"/>
      <c r="L4" s="35"/>
      <c r="M4" s="35"/>
      <c r="N4" s="35"/>
      <c r="O4" s="35"/>
      <c r="P4" s="35"/>
      <c r="Q4" s="36"/>
    </row>
    <row r="5" spans="1:17" s="74" customFormat="1" x14ac:dyDescent="0.3">
      <c r="A5" s="75" t="str">
        <f>IF(ISBLANK(J5),"",A$2)</f>
        <v/>
      </c>
      <c r="B5" s="76" t="str">
        <f>IF(ISBLANK(J5),"",B$2)</f>
        <v/>
      </c>
      <c r="C5" s="76" t="str">
        <f>IF(ISBLANK(J5),"",C$2)</f>
        <v/>
      </c>
      <c r="D5" s="76" t="str">
        <f>IF(ISBLANK(J5),"",D$2)</f>
        <v/>
      </c>
      <c r="E5" s="76" t="str">
        <f>IF(ISBLANK(J5),"",E$2)</f>
        <v/>
      </c>
      <c r="F5" s="76" t="str">
        <f>IF(ISBLANK(J5),"",F$2)</f>
        <v/>
      </c>
      <c r="G5" s="76" t="str">
        <f t="shared" si="0"/>
        <v/>
      </c>
      <c r="H5" s="79" t="str">
        <f t="shared" si="1"/>
        <v/>
      </c>
      <c r="I5" s="85">
        <v>4</v>
      </c>
      <c r="J5" s="35"/>
      <c r="K5" s="35"/>
      <c r="L5" s="35"/>
      <c r="M5" s="35"/>
      <c r="N5" s="35"/>
      <c r="O5" s="35"/>
      <c r="P5" s="35"/>
      <c r="Q5" s="36"/>
    </row>
    <row r="6" spans="1:17" s="74" customFormat="1" ht="15" thickBot="1" x14ac:dyDescent="0.35">
      <c r="A6" s="80" t="str">
        <f>IF(ISBLANK(J6),"",A$2)</f>
        <v/>
      </c>
      <c r="B6" s="81" t="str">
        <f>IF(ISBLANK(J6),"",B$2)</f>
        <v/>
      </c>
      <c r="C6" s="81" t="str">
        <f>IF(ISBLANK(J6),"",C$2)</f>
        <v/>
      </c>
      <c r="D6" s="81" t="str">
        <f>IF(ISBLANK(J6),"",D$2)</f>
        <v/>
      </c>
      <c r="E6" s="81" t="str">
        <f>IF(ISBLANK(J6),"",E$2)</f>
        <v/>
      </c>
      <c r="F6" s="81" t="str">
        <f>IF(ISBLANK(J6),"",F$2)</f>
        <v/>
      </c>
      <c r="G6" s="81" t="str">
        <f t="shared" si="0"/>
        <v/>
      </c>
      <c r="H6" s="82" t="str">
        <f t="shared" si="1"/>
        <v/>
      </c>
      <c r="I6" s="86">
        <v>5</v>
      </c>
      <c r="J6" s="38"/>
      <c r="K6" s="38"/>
      <c r="L6" s="38"/>
      <c r="M6" s="38"/>
      <c r="N6" s="38"/>
      <c r="O6" s="38"/>
      <c r="P6" s="38"/>
      <c r="Q6" s="39"/>
    </row>
    <row r="7" spans="1:17" s="74" customFormat="1" x14ac:dyDescent="0.3">
      <c r="A7" s="113" t="str">
        <f>IF(ISBLANK(E7),"",A$2)</f>
        <v/>
      </c>
      <c r="B7" s="114"/>
      <c r="C7" s="107">
        <v>2</v>
      </c>
      <c r="D7" s="114"/>
      <c r="E7" s="114"/>
      <c r="F7" s="115"/>
      <c r="G7" s="114"/>
      <c r="H7" s="116"/>
      <c r="I7" s="40">
        <v>1</v>
      </c>
      <c r="J7" s="41"/>
      <c r="K7" s="41"/>
      <c r="L7" s="41"/>
      <c r="M7" s="41"/>
      <c r="N7" s="41"/>
      <c r="O7" s="41"/>
      <c r="P7" s="41"/>
      <c r="Q7" s="42"/>
    </row>
    <row r="8" spans="1:17" s="74" customFormat="1" x14ac:dyDescent="0.3">
      <c r="A8" s="87" t="str">
        <f>IF(ISBLANK(J8),"",A$7)</f>
        <v/>
      </c>
      <c r="B8" s="88" t="str">
        <f>IF(ISBLANK(J8),"",B$7)</f>
        <v/>
      </c>
      <c r="C8" s="88" t="str">
        <f>IF(ISBLANK(J8),"",C$7)</f>
        <v/>
      </c>
      <c r="D8" s="88" t="str">
        <f>IF(ISBLANK(J8),"",D$7)</f>
        <v/>
      </c>
      <c r="E8" s="88" t="str">
        <f>IF(ISBLANK(J8),"",E$7)</f>
        <v/>
      </c>
      <c r="F8" s="88" t="str">
        <f>IF(ISBLANK(J8),"",F$7)</f>
        <v/>
      </c>
      <c r="G8" s="88" t="str">
        <f>IF(ISBLANK(J8),"",IF(ISBLANK(G$7),"",G$7))</f>
        <v/>
      </c>
      <c r="H8" s="89" t="str">
        <f>IF(ISBLANK(J8),"",IF(ISBLANK(H$7),"",H$7))</f>
        <v/>
      </c>
      <c r="I8" s="83">
        <v>2</v>
      </c>
      <c r="J8" s="44"/>
      <c r="K8" s="44"/>
      <c r="L8" s="44"/>
      <c r="M8" s="44"/>
      <c r="N8" s="44"/>
      <c r="O8" s="44"/>
      <c r="P8" s="44"/>
      <c r="Q8" s="45"/>
    </row>
    <row r="9" spans="1:17" s="74" customFormat="1" x14ac:dyDescent="0.3">
      <c r="A9" s="90" t="str">
        <f>IF(ISBLANK(J9),"",A$7)</f>
        <v/>
      </c>
      <c r="B9" s="91" t="str">
        <f>IF(ISBLANK(J9),"",B$7)</f>
        <v/>
      </c>
      <c r="C9" s="91" t="str">
        <f>IF(ISBLANK(J9),"",C$7)</f>
        <v/>
      </c>
      <c r="D9" s="91" t="str">
        <f>IF(ISBLANK(J9),"",D$7)</f>
        <v/>
      </c>
      <c r="E9" s="91" t="str">
        <f>IF(ISBLANK(J9),"",E$7)</f>
        <v/>
      </c>
      <c r="F9" s="91" t="str">
        <f>IF(ISBLANK(J9),"",F$7)</f>
        <v/>
      </c>
      <c r="G9" s="91" t="str">
        <f t="shared" ref="G9:G11" si="2">IF(ISBLANK(J9),"",IF(ISBLANK(G$7),"",G$7))</f>
        <v/>
      </c>
      <c r="H9" s="89" t="str">
        <f t="shared" ref="H9:H10" si="3">IF(ISBLANK(J9),"",IF(ISBLANK(H$7),"",H$7))</f>
        <v/>
      </c>
      <c r="I9" s="83">
        <v>3</v>
      </c>
      <c r="J9" s="44"/>
      <c r="K9" s="44"/>
      <c r="L9" s="44"/>
      <c r="M9" s="44"/>
      <c r="N9" s="44"/>
      <c r="O9" s="44"/>
      <c r="P9" s="44"/>
      <c r="Q9" s="45"/>
    </row>
    <row r="10" spans="1:17" s="74" customFormat="1" x14ac:dyDescent="0.3">
      <c r="A10" s="90" t="str">
        <f>IF(ISBLANK(J10),"",A$7)</f>
        <v/>
      </c>
      <c r="B10" s="91" t="str">
        <f>IF(ISBLANK(J10),"",B$7)</f>
        <v/>
      </c>
      <c r="C10" s="91" t="str">
        <f>IF(ISBLANK(J10),"",C$7)</f>
        <v/>
      </c>
      <c r="D10" s="91" t="str">
        <f>IF(ISBLANK(J10),"",D$7)</f>
        <v/>
      </c>
      <c r="E10" s="91" t="str">
        <f>IF(ISBLANK(J10),"",E$7)</f>
        <v/>
      </c>
      <c r="F10" s="91" t="str">
        <f>IF(ISBLANK(J10),"",F$7)</f>
        <v/>
      </c>
      <c r="G10" s="91" t="str">
        <f t="shared" si="2"/>
        <v/>
      </c>
      <c r="H10" s="89" t="str">
        <f t="shared" si="3"/>
        <v/>
      </c>
      <c r="I10" s="83">
        <v>4</v>
      </c>
      <c r="J10" s="44"/>
      <c r="K10" s="44"/>
      <c r="L10" s="44"/>
      <c r="M10" s="44"/>
      <c r="N10" s="44"/>
      <c r="O10" s="44"/>
      <c r="P10" s="44"/>
      <c r="Q10" s="45"/>
    </row>
    <row r="11" spans="1:17" s="74" customFormat="1" ht="15" thickBot="1" x14ac:dyDescent="0.35">
      <c r="A11" s="90" t="str">
        <f>IF(ISBLANK(J11),"",A$7)</f>
        <v/>
      </c>
      <c r="B11" s="91" t="str">
        <f>IF(ISBLANK(J11),"",B$7)</f>
        <v/>
      </c>
      <c r="C11" s="91" t="str">
        <f>IF(ISBLANK(J11),"",C$7)</f>
        <v/>
      </c>
      <c r="D11" s="91" t="str">
        <f>IF(ISBLANK(J11),"",D$7)</f>
        <v/>
      </c>
      <c r="E11" s="91" t="str">
        <f>IF(ISBLANK(J11),"",E$7)</f>
        <v/>
      </c>
      <c r="F11" s="91" t="str">
        <f>IF(ISBLANK(J11),"",F$7)</f>
        <v/>
      </c>
      <c r="G11" s="92" t="str">
        <f t="shared" si="2"/>
        <v/>
      </c>
      <c r="H11" s="93" t="str">
        <f>IF(ISBLANK(J11),"",IF(ISBLANK(H$7),"",H$7))</f>
        <v/>
      </c>
      <c r="I11" s="84">
        <v>5</v>
      </c>
      <c r="J11" s="47"/>
      <c r="K11" s="47"/>
      <c r="L11" s="47"/>
      <c r="M11" s="47"/>
      <c r="N11" s="47"/>
      <c r="O11" s="47"/>
      <c r="P11" s="47"/>
      <c r="Q11" s="48"/>
    </row>
    <row r="12" spans="1:17" s="74" customFormat="1" x14ac:dyDescent="0.3">
      <c r="A12" s="109" t="str">
        <f>IF(ISBLANK(E12),"",A$2)</f>
        <v/>
      </c>
      <c r="B12" s="110"/>
      <c r="C12" s="106">
        <v>3</v>
      </c>
      <c r="D12" s="110"/>
      <c r="E12" s="110"/>
      <c r="F12" s="111"/>
      <c r="G12" s="117"/>
      <c r="H12" s="110"/>
      <c r="I12" s="32">
        <v>1</v>
      </c>
      <c r="J12" s="31"/>
      <c r="K12" s="31"/>
      <c r="L12" s="31"/>
      <c r="M12" s="31"/>
      <c r="N12" s="31"/>
      <c r="O12" s="31"/>
      <c r="P12" s="31"/>
      <c r="Q12" s="33"/>
    </row>
    <row r="13" spans="1:17" x14ac:dyDescent="0.3">
      <c r="A13" s="75" t="str">
        <f>IF(ISBLANK(J13),"",A$12)</f>
        <v/>
      </c>
      <c r="B13" s="76" t="str">
        <f>IF(ISBLANK(J13),"",B$12)</f>
        <v/>
      </c>
      <c r="C13" s="76" t="str">
        <f>IF(ISBLANK(J13),"",C$12)</f>
        <v/>
      </c>
      <c r="D13" s="76" t="str">
        <f>IF(ISBLANK(J13),"",D$12)</f>
        <v/>
      </c>
      <c r="E13" s="76" t="str">
        <f>IF(ISBLANK(J13),"",E$12)</f>
        <v/>
      </c>
      <c r="F13" s="76" t="str">
        <f>IF(ISBLANK(J13),"",F$12)</f>
        <v/>
      </c>
      <c r="G13" s="77" t="str">
        <f>IF(ISBLANK(J13),"",IF(ISBLANK(G$12),"",G$12))</f>
        <v/>
      </c>
      <c r="H13" s="78" t="str">
        <f>IF(ISBLANK(J13),"",IF(ISBLANK(H$12),"",H$12))</f>
        <v/>
      </c>
      <c r="I13" s="34">
        <v>2</v>
      </c>
      <c r="J13" s="35"/>
      <c r="K13" s="35"/>
      <c r="L13" s="35"/>
      <c r="M13" s="35"/>
      <c r="N13" s="35"/>
      <c r="O13" s="35"/>
      <c r="P13" s="35"/>
      <c r="Q13" s="36"/>
    </row>
    <row r="14" spans="1:17" x14ac:dyDescent="0.3">
      <c r="A14" s="75" t="str">
        <f>IF(ISBLANK(J14),"",A$12)</f>
        <v/>
      </c>
      <c r="B14" s="76" t="str">
        <f>IF(ISBLANK(J14),"",B$12)</f>
        <v/>
      </c>
      <c r="C14" s="76" t="str">
        <f>IF(ISBLANK(J14),"",C$12)</f>
        <v/>
      </c>
      <c r="D14" s="76" t="str">
        <f>IF(ISBLANK(J14),"",D$12)</f>
        <v/>
      </c>
      <c r="E14" s="76" t="str">
        <f>IF(ISBLANK(J14),"",E$12)</f>
        <v/>
      </c>
      <c r="F14" s="76" t="str">
        <f>IF(ISBLANK(J14),"",F$12)</f>
        <v/>
      </c>
      <c r="G14" s="76" t="str">
        <f t="shared" ref="G14:G16" si="4">IF(ISBLANK(J14),"",IF(ISBLANK(G$12),"",G$12))</f>
        <v/>
      </c>
      <c r="H14" s="79" t="str">
        <f t="shared" ref="H14:H16" si="5">IF(ISBLANK(J14),"",IF(ISBLANK(H$12),"",H$12))</f>
        <v/>
      </c>
      <c r="I14" s="34">
        <v>3</v>
      </c>
      <c r="J14" s="35"/>
      <c r="K14" s="35"/>
      <c r="L14" s="35"/>
      <c r="M14" s="35"/>
      <c r="N14" s="35"/>
      <c r="O14" s="35"/>
      <c r="P14" s="35"/>
      <c r="Q14" s="36"/>
    </row>
    <row r="15" spans="1:17" x14ac:dyDescent="0.3">
      <c r="A15" s="75" t="str">
        <f>IF(ISBLANK(J15),"",A$12)</f>
        <v/>
      </c>
      <c r="B15" s="76" t="str">
        <f>IF(ISBLANK(J15),"",B$12)</f>
        <v/>
      </c>
      <c r="C15" s="76" t="str">
        <f>IF(ISBLANK(J15),"",C$12)</f>
        <v/>
      </c>
      <c r="D15" s="76" t="str">
        <f>IF(ISBLANK(J15),"",D$12)</f>
        <v/>
      </c>
      <c r="E15" s="76" t="str">
        <f>IF(ISBLANK(J15),"",E$12)</f>
        <v/>
      </c>
      <c r="F15" s="76" t="str">
        <f>IF(ISBLANK(J15),"",F$12)</f>
        <v/>
      </c>
      <c r="G15" s="76" t="str">
        <f t="shared" si="4"/>
        <v/>
      </c>
      <c r="H15" s="79" t="str">
        <f t="shared" si="5"/>
        <v/>
      </c>
      <c r="I15" s="34">
        <v>4</v>
      </c>
      <c r="J15" s="35"/>
      <c r="K15" s="35"/>
      <c r="L15" s="35"/>
      <c r="M15" s="35"/>
      <c r="N15" s="35"/>
      <c r="O15" s="35"/>
      <c r="P15" s="35"/>
      <c r="Q15" s="36"/>
    </row>
    <row r="16" spans="1:17" ht="15" thickBot="1" x14ac:dyDescent="0.35">
      <c r="A16" s="80" t="str">
        <f>IF(ISBLANK(J16),"",A$12)</f>
        <v/>
      </c>
      <c r="B16" s="81" t="str">
        <f>IF(ISBLANK(J16),"",B$12)</f>
        <v/>
      </c>
      <c r="C16" s="81" t="str">
        <f>IF(ISBLANK(J16),"",C$12)</f>
        <v/>
      </c>
      <c r="D16" s="81" t="str">
        <f>IF(ISBLANK(J16),"",D$12)</f>
        <v/>
      </c>
      <c r="E16" s="81" t="str">
        <f>IF(ISBLANK(J16),"",E$12)</f>
        <v/>
      </c>
      <c r="F16" s="81" t="str">
        <f>IF(ISBLANK(J16),"",F$12)</f>
        <v/>
      </c>
      <c r="G16" s="81" t="str">
        <f t="shared" si="4"/>
        <v/>
      </c>
      <c r="H16" s="82" t="str">
        <f t="shared" si="5"/>
        <v/>
      </c>
      <c r="I16" s="37">
        <v>5</v>
      </c>
      <c r="J16" s="38"/>
      <c r="K16" s="38"/>
      <c r="L16" s="38"/>
      <c r="M16" s="38"/>
      <c r="N16" s="38"/>
      <c r="O16" s="38"/>
      <c r="P16" s="38"/>
      <c r="Q16" s="39"/>
    </row>
    <row r="17" spans="1:17" s="74" customFormat="1" x14ac:dyDescent="0.3">
      <c r="A17" s="118" t="str">
        <f>IF(ISBLANK(E17),"",A$2)</f>
        <v/>
      </c>
      <c r="B17" s="119"/>
      <c r="C17" s="108">
        <v>4</v>
      </c>
      <c r="D17" s="119"/>
      <c r="E17" s="119"/>
      <c r="F17" s="120"/>
      <c r="G17" s="115"/>
      <c r="H17" s="116"/>
      <c r="I17" s="40">
        <v>1</v>
      </c>
      <c r="J17" s="41"/>
      <c r="K17" s="41"/>
      <c r="L17" s="41"/>
      <c r="M17" s="41"/>
      <c r="N17" s="41"/>
      <c r="O17" s="41"/>
      <c r="P17" s="41"/>
      <c r="Q17" s="42"/>
    </row>
    <row r="18" spans="1:17" x14ac:dyDescent="0.3">
      <c r="A18" s="90" t="str">
        <f>IF(ISBLANK(J18),"",A$17)</f>
        <v/>
      </c>
      <c r="B18" s="91" t="str">
        <f>IF(ISBLANK(J18),"",B$17)</f>
        <v/>
      </c>
      <c r="C18" s="91" t="str">
        <f>IF(ISBLANK(J18),"",C$17)</f>
        <v/>
      </c>
      <c r="D18" s="91" t="str">
        <f>IF(ISBLANK(J18),"",D$17)</f>
        <v/>
      </c>
      <c r="E18" s="91" t="str">
        <f>IF(ISBLANK(J18),"",E$17)</f>
        <v/>
      </c>
      <c r="F18" s="91" t="str">
        <f>IF(ISBLANK(J18),"",F$17)</f>
        <v/>
      </c>
      <c r="G18" s="88" t="str">
        <f>IF(ISBLANK(J18),"",IF(ISBLANK(G$17),"",G$17))</f>
        <v/>
      </c>
      <c r="H18" s="89" t="str">
        <f>IF(ISBLANK(J18),"",IF(ISBLANK(H$17),"",H$17))</f>
        <v/>
      </c>
      <c r="I18" s="43">
        <v>2</v>
      </c>
      <c r="J18" s="44"/>
      <c r="K18" s="44"/>
      <c r="L18" s="44"/>
      <c r="M18" s="44"/>
      <c r="N18" s="44"/>
      <c r="O18" s="44"/>
      <c r="P18" s="44"/>
      <c r="Q18" s="45"/>
    </row>
    <row r="19" spans="1:17" x14ac:dyDescent="0.3">
      <c r="A19" s="90" t="str">
        <f>IF(ISBLANK(J19),"",A$17)</f>
        <v/>
      </c>
      <c r="B19" s="91" t="str">
        <f>IF(ISBLANK(J19),"",B$17)</f>
        <v/>
      </c>
      <c r="C19" s="91" t="str">
        <f>IF(ISBLANK(J19),"",C$17)</f>
        <v/>
      </c>
      <c r="D19" s="91" t="str">
        <f>IF(ISBLANK(J19),"",D$17)</f>
        <v/>
      </c>
      <c r="E19" s="91" t="str">
        <f>IF(ISBLANK(J19),"",E$17)</f>
        <v/>
      </c>
      <c r="F19" s="91" t="str">
        <f>IF(ISBLANK(J19),"",F$17)</f>
        <v/>
      </c>
      <c r="G19" s="91" t="str">
        <f t="shared" ref="G19:G21" si="6">IF(ISBLANK(J19),"",IF(ISBLANK(G$17),"",G$17))</f>
        <v/>
      </c>
      <c r="H19" s="89" t="str">
        <f t="shared" ref="H19:H20" si="7">IF(ISBLANK(J19),"",IF(ISBLANK(H$17),"",H$17))</f>
        <v/>
      </c>
      <c r="I19" s="43">
        <v>3</v>
      </c>
      <c r="J19" s="44"/>
      <c r="K19" s="44"/>
      <c r="L19" s="44"/>
      <c r="M19" s="44"/>
      <c r="N19" s="44"/>
      <c r="O19" s="44"/>
      <c r="P19" s="44"/>
      <c r="Q19" s="45"/>
    </row>
    <row r="20" spans="1:17" x14ac:dyDescent="0.3">
      <c r="A20" s="90" t="str">
        <f>IF(ISBLANK(J20),"",A$17)</f>
        <v/>
      </c>
      <c r="B20" s="91" t="str">
        <f>IF(ISBLANK(J20),"",B$17)</f>
        <v/>
      </c>
      <c r="C20" s="91" t="str">
        <f>IF(ISBLANK(J20),"",C$17)</f>
        <v/>
      </c>
      <c r="D20" s="91" t="str">
        <f>IF(ISBLANK(J20),"",D$17)</f>
        <v/>
      </c>
      <c r="E20" s="91" t="str">
        <f>IF(ISBLANK(J20),"",E$17)</f>
        <v/>
      </c>
      <c r="F20" s="91" t="str">
        <f>IF(ISBLANK(J20),"",F$17)</f>
        <v/>
      </c>
      <c r="G20" s="91" t="str">
        <f t="shared" si="6"/>
        <v/>
      </c>
      <c r="H20" s="89" t="str">
        <f t="shared" si="7"/>
        <v/>
      </c>
      <c r="I20" s="43">
        <v>4</v>
      </c>
      <c r="J20" s="44"/>
      <c r="K20" s="44"/>
      <c r="L20" s="44"/>
      <c r="M20" s="44"/>
      <c r="N20" s="44"/>
      <c r="O20" s="44"/>
      <c r="P20" s="44"/>
      <c r="Q20" s="45"/>
    </row>
    <row r="21" spans="1:17" ht="15" thickBot="1" x14ac:dyDescent="0.35">
      <c r="A21" s="90" t="str">
        <f>IF(ISBLANK(J21),"",A$17)</f>
        <v/>
      </c>
      <c r="B21" s="91" t="str">
        <f>IF(ISBLANK(J21),"",B$17)</f>
        <v/>
      </c>
      <c r="C21" s="91" t="str">
        <f>IF(ISBLANK(J21),"",C$17)</f>
        <v/>
      </c>
      <c r="D21" s="91" t="str">
        <f>IF(ISBLANK(J21),"",D$17)</f>
        <v/>
      </c>
      <c r="E21" s="91" t="str">
        <f>IF(ISBLANK(J21),"",E$17)</f>
        <v/>
      </c>
      <c r="F21" s="91" t="str">
        <f>IF(ISBLANK(J21),"",F$17)</f>
        <v/>
      </c>
      <c r="G21" s="92" t="str">
        <f t="shared" si="6"/>
        <v/>
      </c>
      <c r="H21" s="93" t="str">
        <f>IF(ISBLANK(J21),"",IF(ISBLANK(H$17),"",H$17))</f>
        <v/>
      </c>
      <c r="I21" s="46">
        <v>5</v>
      </c>
      <c r="J21" s="47"/>
      <c r="K21" s="47"/>
      <c r="L21" s="47"/>
      <c r="M21" s="47"/>
      <c r="N21" s="47"/>
      <c r="O21" s="47"/>
      <c r="P21" s="47"/>
      <c r="Q21" s="48"/>
    </row>
    <row r="22" spans="1:17" s="74" customFormat="1" x14ac:dyDescent="0.3">
      <c r="A22" s="109" t="str">
        <f>IF(ISBLANK(E22),"",A$2)</f>
        <v/>
      </c>
      <c r="B22" s="110"/>
      <c r="C22" s="106">
        <v>5</v>
      </c>
      <c r="D22" s="110"/>
      <c r="E22" s="110"/>
      <c r="F22" s="111"/>
      <c r="G22" s="117"/>
      <c r="H22" s="110"/>
      <c r="I22" s="32">
        <v>1</v>
      </c>
      <c r="J22" s="31"/>
      <c r="K22" s="31"/>
      <c r="L22" s="31"/>
      <c r="M22" s="31"/>
      <c r="N22" s="31"/>
      <c r="O22" s="31"/>
      <c r="P22" s="31"/>
      <c r="Q22" s="33"/>
    </row>
    <row r="23" spans="1:17" x14ac:dyDescent="0.3">
      <c r="A23" s="75" t="str">
        <f>IF(ISBLANK(J23),"",A$22)</f>
        <v/>
      </c>
      <c r="B23" s="76" t="str">
        <f>IF(ISBLANK(J23),"",B$22)</f>
        <v/>
      </c>
      <c r="C23" s="76" t="str">
        <f>IF(ISBLANK(J23),"",C$22)</f>
        <v/>
      </c>
      <c r="D23" s="76" t="str">
        <f>IF(ISBLANK(J23),"",D$22)</f>
        <v/>
      </c>
      <c r="E23" s="76" t="str">
        <f>IF(ISBLANK(J23),"",E$22)</f>
        <v/>
      </c>
      <c r="F23" s="76" t="str">
        <f>IF(ISBLANK(J23),"",F$22)</f>
        <v/>
      </c>
      <c r="G23" s="77" t="str">
        <f>IF(ISBLANK(J23),"",IF(ISBLANK(G$22),"",G$22))</f>
        <v/>
      </c>
      <c r="H23" s="78" t="str">
        <f>IF(ISBLANK(J23),"",IF(ISBLANK(H$22),"",H$22))</f>
        <v/>
      </c>
      <c r="I23" s="34">
        <v>2</v>
      </c>
      <c r="J23" s="35"/>
      <c r="K23" s="35"/>
      <c r="L23" s="35"/>
      <c r="M23" s="35"/>
      <c r="N23" s="35"/>
      <c r="O23" s="35"/>
      <c r="P23" s="35"/>
      <c r="Q23" s="36"/>
    </row>
    <row r="24" spans="1:17" x14ac:dyDescent="0.3">
      <c r="A24" s="75" t="str">
        <f>IF(ISBLANK(J24),"",A$22)</f>
        <v/>
      </c>
      <c r="B24" s="76" t="str">
        <f>IF(ISBLANK(J24),"",B$22)</f>
        <v/>
      </c>
      <c r="C24" s="76" t="str">
        <f>IF(ISBLANK(J24),"",C$22)</f>
        <v/>
      </c>
      <c r="D24" s="76" t="str">
        <f>IF(ISBLANK(J24),"",D$22)</f>
        <v/>
      </c>
      <c r="E24" s="76" t="str">
        <f>IF(ISBLANK(J24),"",E$22)</f>
        <v/>
      </c>
      <c r="F24" s="76" t="str">
        <f>IF(ISBLANK(J24),"",F$22)</f>
        <v/>
      </c>
      <c r="G24" s="76" t="str">
        <f t="shared" ref="G24:G26" si="8">IF(ISBLANK(J24),"",IF(ISBLANK(G$22),"",G$22))</f>
        <v/>
      </c>
      <c r="H24" s="79" t="str">
        <f t="shared" ref="H24:H25" si="9">IF(ISBLANK(J24),"",IF(ISBLANK(H$22),"",H$22))</f>
        <v/>
      </c>
      <c r="I24" s="34">
        <v>3</v>
      </c>
      <c r="J24" s="35"/>
      <c r="K24" s="35"/>
      <c r="L24" s="35"/>
      <c r="M24" s="35"/>
      <c r="N24" s="35"/>
      <c r="O24" s="35"/>
      <c r="P24" s="35"/>
      <c r="Q24" s="36"/>
    </row>
    <row r="25" spans="1:17" x14ac:dyDescent="0.3">
      <c r="A25" s="75" t="str">
        <f>IF(ISBLANK(J25),"",A$22)</f>
        <v/>
      </c>
      <c r="B25" s="76" t="str">
        <f>IF(ISBLANK(J25),"",B$22)</f>
        <v/>
      </c>
      <c r="C25" s="76" t="str">
        <f>IF(ISBLANK(J25),"",C$22)</f>
        <v/>
      </c>
      <c r="D25" s="76" t="str">
        <f>IF(ISBLANK(J25),"",D$22)</f>
        <v/>
      </c>
      <c r="E25" s="76" t="str">
        <f>IF(ISBLANK(J25),"",E$22)</f>
        <v/>
      </c>
      <c r="F25" s="76" t="str">
        <f>IF(ISBLANK(J25),"",F$22)</f>
        <v/>
      </c>
      <c r="G25" s="76" t="str">
        <f t="shared" si="8"/>
        <v/>
      </c>
      <c r="H25" s="79" t="str">
        <f t="shared" si="9"/>
        <v/>
      </c>
      <c r="I25" s="34">
        <v>4</v>
      </c>
      <c r="J25" s="35"/>
      <c r="K25" s="35"/>
      <c r="L25" s="35"/>
      <c r="M25" s="35"/>
      <c r="N25" s="35"/>
      <c r="O25" s="35"/>
      <c r="P25" s="35"/>
      <c r="Q25" s="36"/>
    </row>
    <row r="26" spans="1:17" ht="15" thickBot="1" x14ac:dyDescent="0.35">
      <c r="A26" s="80" t="str">
        <f>IF(ISBLANK(J26),"",A$22)</f>
        <v/>
      </c>
      <c r="B26" s="81" t="str">
        <f>IF(ISBLANK(J26),"",B$22)</f>
        <v/>
      </c>
      <c r="C26" s="81" t="str">
        <f>IF(ISBLANK(J26),"",C$22)</f>
        <v/>
      </c>
      <c r="D26" s="81" t="str">
        <f>IF(ISBLANK(J26),"",D$22)</f>
        <v/>
      </c>
      <c r="E26" s="81" t="str">
        <f>IF(ISBLANK(J26),"",E$22)</f>
        <v/>
      </c>
      <c r="F26" s="81" t="str">
        <f>IF(ISBLANK(J26),"",F$22)</f>
        <v/>
      </c>
      <c r="G26" s="81" t="str">
        <f t="shared" si="8"/>
        <v/>
      </c>
      <c r="H26" s="82" t="str">
        <f>IF(ISBLANK(J26),"",IF(ISBLANK(H$22),"",H$22))</f>
        <v/>
      </c>
      <c r="I26" s="37">
        <v>5</v>
      </c>
      <c r="J26" s="38"/>
      <c r="K26" s="38"/>
      <c r="L26" s="38"/>
      <c r="M26" s="38"/>
      <c r="N26" s="38"/>
      <c r="O26" s="38"/>
      <c r="P26" s="38"/>
      <c r="Q26" s="39"/>
    </row>
    <row r="27" spans="1:17" s="74" customFormat="1" x14ac:dyDescent="0.3">
      <c r="A27" s="49" t="str">
        <f>IF(ISBLANK(E27),"",A$2)</f>
        <v/>
      </c>
      <c r="B27" s="119"/>
      <c r="C27" s="108">
        <v>6</v>
      </c>
      <c r="D27" s="119"/>
      <c r="E27" s="119"/>
      <c r="F27" s="120"/>
      <c r="G27" s="115"/>
      <c r="H27" s="116"/>
      <c r="I27" s="40">
        <v>1</v>
      </c>
      <c r="J27" s="41"/>
      <c r="K27" s="41"/>
      <c r="L27" s="41"/>
      <c r="M27" s="41"/>
      <c r="N27" s="41"/>
      <c r="O27" s="41"/>
      <c r="P27" s="41"/>
      <c r="Q27" s="42"/>
    </row>
    <row r="28" spans="1:17" x14ac:dyDescent="0.3">
      <c r="A28" s="90" t="str">
        <f>IF(ISBLANK(J28),"",A$27)</f>
        <v/>
      </c>
      <c r="B28" s="91" t="str">
        <f>IF(ISBLANK(J28),"",B$27)</f>
        <v/>
      </c>
      <c r="C28" s="91" t="str">
        <f>IF(ISBLANK(J28),"",C$27)</f>
        <v/>
      </c>
      <c r="D28" s="91" t="str">
        <f>IF(ISBLANK(J28),"",D$27)</f>
        <v/>
      </c>
      <c r="E28" s="91" t="str">
        <f>IF(ISBLANK(J28),"",E$27)</f>
        <v/>
      </c>
      <c r="F28" s="91" t="str">
        <f>IF(ISBLANK(J28),"",F$27)</f>
        <v/>
      </c>
      <c r="G28" s="88" t="str">
        <f>IF(ISBLANK(J28),"",IF(ISBLANK(G$27),"",G$27))</f>
        <v/>
      </c>
      <c r="H28" s="89" t="str">
        <f>IF(ISBLANK(J28),"",IF(ISBLANK(H$27),"",H$27))</f>
        <v/>
      </c>
      <c r="I28" s="43">
        <v>2</v>
      </c>
      <c r="J28" s="44"/>
      <c r="K28" s="44"/>
      <c r="L28" s="44"/>
      <c r="M28" s="44"/>
      <c r="N28" s="44"/>
      <c r="O28" s="44"/>
      <c r="P28" s="44"/>
      <c r="Q28" s="45"/>
    </row>
    <row r="29" spans="1:17" x14ac:dyDescent="0.3">
      <c r="A29" s="90" t="str">
        <f>IF(ISBLANK(J29),"",A$27)</f>
        <v/>
      </c>
      <c r="B29" s="91" t="str">
        <f>IF(ISBLANK(J29),"",B$27)</f>
        <v/>
      </c>
      <c r="C29" s="91" t="str">
        <f>IF(ISBLANK(J29),"",C$27)</f>
        <v/>
      </c>
      <c r="D29" s="91" t="str">
        <f>IF(ISBLANK(J29),"",D$27)</f>
        <v/>
      </c>
      <c r="E29" s="91" t="str">
        <f>IF(ISBLANK(J29),"",E$27)</f>
        <v/>
      </c>
      <c r="F29" s="91" t="str">
        <f>IF(ISBLANK(J29),"",F$27)</f>
        <v/>
      </c>
      <c r="G29" s="91" t="str">
        <f t="shared" ref="G29:G31" si="10">IF(ISBLANK(J29),"",IF(ISBLANK(G$27),"",G$27))</f>
        <v/>
      </c>
      <c r="H29" s="89" t="str">
        <f>IF(ISBLANK(J29),"",IF(ISBLANK(H$27),"",H$27))</f>
        <v/>
      </c>
      <c r="I29" s="43">
        <v>3</v>
      </c>
      <c r="J29" s="44"/>
      <c r="K29" s="44"/>
      <c r="L29" s="44"/>
      <c r="M29" s="44"/>
      <c r="N29" s="44"/>
      <c r="O29" s="44"/>
      <c r="P29" s="44"/>
      <c r="Q29" s="45"/>
    </row>
    <row r="30" spans="1:17" x14ac:dyDescent="0.3">
      <c r="A30" s="90" t="str">
        <f>IF(ISBLANK(J30),"",A$27)</f>
        <v/>
      </c>
      <c r="B30" s="91" t="str">
        <f>IF(ISBLANK(J30),"",B$27)</f>
        <v/>
      </c>
      <c r="C30" s="91" t="str">
        <f>IF(ISBLANK(J30),"",C$27)</f>
        <v/>
      </c>
      <c r="D30" s="91" t="str">
        <f>IF(ISBLANK(J30),"",D$27)</f>
        <v/>
      </c>
      <c r="E30" s="91" t="str">
        <f>IF(ISBLANK(J30),"",E$27)</f>
        <v/>
      </c>
      <c r="F30" s="91" t="str">
        <f>IF(ISBLANK(J30),"",F$27)</f>
        <v/>
      </c>
      <c r="G30" s="91" t="str">
        <f>IF(ISBLANK(J30),"",IF(ISBLANK(G$27),"",G$27))</f>
        <v/>
      </c>
      <c r="H30" s="89" t="str">
        <f t="shared" ref="H30:H31" si="11">IF(ISBLANK(J30),"",IF(ISBLANK(H$27),"",H$27))</f>
        <v/>
      </c>
      <c r="I30" s="43">
        <v>4</v>
      </c>
      <c r="J30" s="44"/>
      <c r="K30" s="44"/>
      <c r="L30" s="44"/>
      <c r="M30" s="44"/>
      <c r="N30" s="44"/>
      <c r="O30" s="44"/>
      <c r="P30" s="44"/>
      <c r="Q30" s="45"/>
    </row>
    <row r="31" spans="1:17" ht="15" thickBot="1" x14ac:dyDescent="0.35">
      <c r="A31" s="90" t="str">
        <f>IF(ISBLANK(J31),"",A$27)</f>
        <v/>
      </c>
      <c r="B31" s="91" t="str">
        <f>IF(ISBLANK(J31),"",B$27)</f>
        <v/>
      </c>
      <c r="C31" s="91" t="str">
        <f>IF(ISBLANK(J31),"",C$27)</f>
        <v/>
      </c>
      <c r="D31" s="91" t="str">
        <f>IF(ISBLANK(J31),"",D$27)</f>
        <v/>
      </c>
      <c r="E31" s="91" t="str">
        <f>IF(ISBLANK(J31),"",E$27)</f>
        <v/>
      </c>
      <c r="F31" s="91" t="str">
        <f>IF(ISBLANK(J31),"",F$27)</f>
        <v/>
      </c>
      <c r="G31" s="92" t="str">
        <f t="shared" si="10"/>
        <v/>
      </c>
      <c r="H31" s="93" t="str">
        <f t="shared" si="11"/>
        <v/>
      </c>
      <c r="I31" s="46">
        <v>5</v>
      </c>
      <c r="J31" s="47"/>
      <c r="K31" s="47"/>
      <c r="L31" s="47"/>
      <c r="M31" s="47"/>
      <c r="N31" s="47"/>
      <c r="O31" s="47"/>
      <c r="P31" s="47"/>
      <c r="Q31" s="48"/>
    </row>
    <row r="32" spans="1:17" s="74" customFormat="1" x14ac:dyDescent="0.3">
      <c r="A32" s="109"/>
      <c r="B32" s="110"/>
      <c r="C32" s="106">
        <v>7</v>
      </c>
      <c r="D32" s="110"/>
      <c r="E32" s="110"/>
      <c r="F32" s="111"/>
      <c r="G32" s="121"/>
      <c r="H32" s="122"/>
      <c r="I32" s="32">
        <v>1</v>
      </c>
      <c r="J32" s="31"/>
      <c r="K32" s="31"/>
      <c r="L32" s="31"/>
      <c r="M32" s="31"/>
      <c r="N32" s="31"/>
      <c r="O32" s="31"/>
      <c r="P32" s="31"/>
      <c r="Q32" s="33"/>
    </row>
    <row r="33" spans="1:17" x14ac:dyDescent="0.3">
      <c r="A33" s="75" t="str">
        <f>IF(ISBLANK(J33),"",A$32)</f>
        <v/>
      </c>
      <c r="B33" s="76" t="str">
        <f>IF(ISBLANK(J33),"",B$32)</f>
        <v/>
      </c>
      <c r="C33" s="76" t="str">
        <f>IF(ISBLANK(J33),"",C$32)</f>
        <v/>
      </c>
      <c r="D33" s="76" t="str">
        <f>IF(ISBLANK(J33),"",D$32)</f>
        <v/>
      </c>
      <c r="E33" s="76" t="str">
        <f>IF(ISBLANK(J33),"",E$32)</f>
        <v/>
      </c>
      <c r="F33" s="76" t="str">
        <f>IF(ISBLANK(J33),"",F$32)</f>
        <v/>
      </c>
      <c r="G33" s="77" t="str">
        <f>IF(ISBLANK(J33),"",IF(ISBLANK(G$32),"",G$32))</f>
        <v/>
      </c>
      <c r="H33" s="78" t="str">
        <f>IF(ISBLANK(J33),"",IF(ISBLANK(H$32),"",H$32))</f>
        <v/>
      </c>
      <c r="I33" s="34">
        <v>2</v>
      </c>
      <c r="J33" s="35"/>
      <c r="K33" s="35"/>
      <c r="L33" s="35"/>
      <c r="M33" s="35"/>
      <c r="N33" s="35"/>
      <c r="O33" s="35"/>
      <c r="P33" s="35"/>
      <c r="Q33" s="36"/>
    </row>
    <row r="34" spans="1:17" x14ac:dyDescent="0.3">
      <c r="A34" s="75" t="str">
        <f>IF(ISBLANK(J34),"",A$32)</f>
        <v/>
      </c>
      <c r="B34" s="76" t="str">
        <f>IF(ISBLANK(J34),"",B$32)</f>
        <v/>
      </c>
      <c r="C34" s="76" t="str">
        <f>IF(ISBLANK(J34),"",C$32)</f>
        <v/>
      </c>
      <c r="D34" s="76" t="str">
        <f>IF(ISBLANK(J34),"",D$32)</f>
        <v/>
      </c>
      <c r="E34" s="76" t="str">
        <f>IF(ISBLANK(J34),"",E$32)</f>
        <v/>
      </c>
      <c r="F34" s="76" t="str">
        <f>IF(ISBLANK(J34),"",F$32)</f>
        <v/>
      </c>
      <c r="G34" s="76" t="str">
        <f t="shared" ref="G34:G36" si="12">IF(ISBLANK(J34),"",IF(ISBLANK(G$32),"",G$32))</f>
        <v/>
      </c>
      <c r="H34" s="79" t="str">
        <f t="shared" ref="H34:H36" si="13">IF(ISBLANK(J34),"",IF(ISBLANK(H$32),"",H$32))</f>
        <v/>
      </c>
      <c r="I34" s="34">
        <v>3</v>
      </c>
      <c r="J34" s="35"/>
      <c r="K34" s="35"/>
      <c r="L34" s="35"/>
      <c r="M34" s="35"/>
      <c r="N34" s="35"/>
      <c r="O34" s="35"/>
      <c r="P34" s="35"/>
      <c r="Q34" s="36"/>
    </row>
    <row r="35" spans="1:17" x14ac:dyDescent="0.3">
      <c r="A35" s="75" t="str">
        <f>IF(ISBLANK(J35),"",A$32)</f>
        <v/>
      </c>
      <c r="B35" s="76" t="str">
        <f>IF(ISBLANK(J35),"",B$32)</f>
        <v/>
      </c>
      <c r="C35" s="76" t="str">
        <f>IF(ISBLANK(J35),"",C$32)</f>
        <v/>
      </c>
      <c r="D35" s="76" t="str">
        <f>IF(ISBLANK(J35),"",D$32)</f>
        <v/>
      </c>
      <c r="E35" s="76" t="str">
        <f>IF(ISBLANK(J35),"",E$32)</f>
        <v/>
      </c>
      <c r="F35" s="76" t="str">
        <f>IF(ISBLANK(J35),"",F$32)</f>
        <v/>
      </c>
      <c r="G35" s="76" t="str">
        <f t="shared" si="12"/>
        <v/>
      </c>
      <c r="H35" s="79" t="str">
        <f>IF(ISBLANK(J35),"",IF(ISBLANK(H$32),"",H$32))</f>
        <v/>
      </c>
      <c r="I35" s="34">
        <v>4</v>
      </c>
      <c r="J35" s="35"/>
      <c r="K35" s="35"/>
      <c r="L35" s="35"/>
      <c r="M35" s="35"/>
      <c r="N35" s="35"/>
      <c r="O35" s="35"/>
      <c r="P35" s="35"/>
      <c r="Q35" s="36"/>
    </row>
    <row r="36" spans="1:17" ht="15" thickBot="1" x14ac:dyDescent="0.35">
      <c r="A36" s="80" t="str">
        <f>IF(ISBLANK(J36),"",A$32)</f>
        <v/>
      </c>
      <c r="B36" s="81" t="str">
        <f>IF(ISBLANK(J36),"",B$32)</f>
        <v/>
      </c>
      <c r="C36" s="81" t="str">
        <f>IF(ISBLANK(J36),"",C$32)</f>
        <v/>
      </c>
      <c r="D36" s="81" t="str">
        <f>IF(ISBLANK(J36),"",D$32)</f>
        <v/>
      </c>
      <c r="E36" s="81" t="str">
        <f>IF(ISBLANK(J36),"",E$32)</f>
        <v/>
      </c>
      <c r="F36" s="81" t="str">
        <f>IF(ISBLANK(J36),"",F$32)</f>
        <v/>
      </c>
      <c r="G36" s="81" t="str">
        <f t="shared" si="12"/>
        <v/>
      </c>
      <c r="H36" s="82" t="str">
        <f t="shared" si="13"/>
        <v/>
      </c>
      <c r="I36" s="37">
        <v>5</v>
      </c>
      <c r="J36" s="38"/>
      <c r="K36" s="38"/>
      <c r="L36" s="38"/>
      <c r="M36" s="38"/>
      <c r="N36" s="38"/>
      <c r="O36" s="38"/>
      <c r="P36" s="38"/>
      <c r="Q36" s="39"/>
    </row>
    <row r="37" spans="1:17" s="74" customFormat="1" x14ac:dyDescent="0.3">
      <c r="A37" s="118" t="str">
        <f>IF(ISBLANK(E37),"",A$2)</f>
        <v/>
      </c>
      <c r="B37" s="119"/>
      <c r="C37" s="108">
        <v>8</v>
      </c>
      <c r="D37" s="119"/>
      <c r="E37" s="119"/>
      <c r="F37" s="120"/>
      <c r="G37" s="115"/>
      <c r="H37" s="116"/>
      <c r="I37" s="40">
        <v>1</v>
      </c>
      <c r="J37" s="41"/>
      <c r="K37" s="41"/>
      <c r="L37" s="41"/>
      <c r="M37" s="41"/>
      <c r="N37" s="41"/>
      <c r="O37" s="41"/>
      <c r="P37" s="41"/>
      <c r="Q37" s="42"/>
    </row>
    <row r="38" spans="1:17" x14ac:dyDescent="0.3">
      <c r="A38" s="87" t="str">
        <f>IF(ISBLANK(J38),"",A$37)</f>
        <v/>
      </c>
      <c r="B38" s="88" t="str">
        <f>IF(ISBLANK(J38),"",B$37)</f>
        <v/>
      </c>
      <c r="C38" s="88" t="str">
        <f>IF(ISBLANK(J38),"",C$37)</f>
        <v/>
      </c>
      <c r="D38" s="88" t="str">
        <f>IF(ISBLANK(J38),"",D$37)</f>
        <v/>
      </c>
      <c r="E38" s="88" t="str">
        <f>IF(ISBLANK(J38),"",E$37)</f>
        <v/>
      </c>
      <c r="F38" s="88" t="str">
        <f>IF(ISBLANK(J38),"",F$37)</f>
        <v/>
      </c>
      <c r="G38" s="88" t="str">
        <f>IF(ISBLANK(J38),"",IF(ISBLANK(G$37),"",G$37))</f>
        <v/>
      </c>
      <c r="H38" s="89" t="str">
        <f>IF(ISBLANK(J38),"",IF(ISBLANK(H$37),"",H$37))</f>
        <v/>
      </c>
      <c r="I38" s="43">
        <v>2</v>
      </c>
      <c r="J38" s="44"/>
      <c r="K38" s="44"/>
      <c r="L38" s="44"/>
      <c r="M38" s="44"/>
      <c r="N38" s="44"/>
      <c r="O38" s="44"/>
      <c r="P38" s="44"/>
      <c r="Q38" s="45"/>
    </row>
    <row r="39" spans="1:17" x14ac:dyDescent="0.3">
      <c r="A39" s="90" t="str">
        <f>IF(ISBLANK(J39),"",A$37)</f>
        <v/>
      </c>
      <c r="B39" s="91" t="str">
        <f>IF(ISBLANK(J39),"",B$37)</f>
        <v/>
      </c>
      <c r="C39" s="91" t="str">
        <f>IF(ISBLANK(J39),"",C$37)</f>
        <v/>
      </c>
      <c r="D39" s="91" t="str">
        <f>IF(ISBLANK(J39),"",D$37)</f>
        <v/>
      </c>
      <c r="E39" s="91" t="str">
        <f>IF(ISBLANK(J39),"",E$37)</f>
        <v/>
      </c>
      <c r="F39" s="91" t="str">
        <f>IF(ISBLANK(J39),"",F$37)</f>
        <v/>
      </c>
      <c r="G39" s="91" t="str">
        <f t="shared" ref="G39:G41" si="14">IF(ISBLANK(J39),"",IF(ISBLANK(G$37),"",G$37))</f>
        <v/>
      </c>
      <c r="H39" s="89" t="str">
        <f t="shared" ref="H39:H40" si="15">IF(ISBLANK(J39),"",IF(ISBLANK(H$37),"",H$37))</f>
        <v/>
      </c>
      <c r="I39" s="43">
        <v>3</v>
      </c>
      <c r="J39" s="44"/>
      <c r="K39" s="44"/>
      <c r="L39" s="44"/>
      <c r="M39" s="44"/>
      <c r="N39" s="44"/>
      <c r="O39" s="44"/>
      <c r="P39" s="44"/>
      <c r="Q39" s="45"/>
    </row>
    <row r="40" spans="1:17" x14ac:dyDescent="0.3">
      <c r="A40" s="90" t="str">
        <f>IF(ISBLANK(J40),"",A$37)</f>
        <v/>
      </c>
      <c r="B40" s="91" t="str">
        <f>IF(ISBLANK(J40),"",B$37)</f>
        <v/>
      </c>
      <c r="C40" s="91" t="str">
        <f>IF(ISBLANK(J40),"",C$37)</f>
        <v/>
      </c>
      <c r="D40" s="91" t="str">
        <f>IF(ISBLANK(J40),"",D$37)</f>
        <v/>
      </c>
      <c r="E40" s="91" t="str">
        <f>IF(ISBLANK(J40),"",E$37)</f>
        <v/>
      </c>
      <c r="F40" s="91" t="str">
        <f>IF(ISBLANK(J40),"",F$37)</f>
        <v/>
      </c>
      <c r="G40" s="91" t="str">
        <f t="shared" si="14"/>
        <v/>
      </c>
      <c r="H40" s="89" t="str">
        <f t="shared" si="15"/>
        <v/>
      </c>
      <c r="I40" s="43">
        <v>4</v>
      </c>
      <c r="J40" s="44"/>
      <c r="K40" s="44"/>
      <c r="L40" s="44"/>
      <c r="M40" s="44"/>
      <c r="N40" s="44"/>
      <c r="O40" s="44"/>
      <c r="P40" s="44"/>
      <c r="Q40" s="45"/>
    </row>
    <row r="41" spans="1:17" ht="15" thickBot="1" x14ac:dyDescent="0.35">
      <c r="A41" s="90" t="str">
        <f>IF(ISBLANK(J41),"",A$37)</f>
        <v/>
      </c>
      <c r="B41" s="91" t="str">
        <f>IF(ISBLANK(J41),"",B$37)</f>
        <v/>
      </c>
      <c r="C41" s="91" t="str">
        <f>IF(ISBLANK(J41),"",C$37)</f>
        <v/>
      </c>
      <c r="D41" s="91" t="str">
        <f>IF(ISBLANK(J41),"",D$37)</f>
        <v/>
      </c>
      <c r="E41" s="91" t="str">
        <f>IF(ISBLANK(J41),"",E$37)</f>
        <v/>
      </c>
      <c r="F41" s="91" t="str">
        <f>IF(ISBLANK(J41),"",F$37)</f>
        <v/>
      </c>
      <c r="G41" s="92" t="str">
        <f t="shared" si="14"/>
        <v/>
      </c>
      <c r="H41" s="93" t="str">
        <f>IF(ISBLANK(J41),"",IF(ISBLANK(H$37),"",H$37))</f>
        <v/>
      </c>
      <c r="I41" s="46">
        <v>5</v>
      </c>
      <c r="J41" s="47"/>
      <c r="K41" s="47"/>
      <c r="L41" s="47"/>
      <c r="M41" s="47"/>
      <c r="N41" s="47"/>
      <c r="O41" s="47"/>
      <c r="P41" s="47"/>
      <c r="Q41" s="48"/>
    </row>
    <row r="42" spans="1:17" s="74" customFormat="1" x14ac:dyDescent="0.3">
      <c r="A42" s="109" t="str">
        <f>IF(ISBLANK(E42),"",A$2)</f>
        <v/>
      </c>
      <c r="B42" s="110"/>
      <c r="C42" s="106">
        <v>9</v>
      </c>
      <c r="D42" s="110"/>
      <c r="E42" s="110"/>
      <c r="F42" s="111"/>
      <c r="G42" s="117"/>
      <c r="H42" s="110"/>
      <c r="I42" s="32">
        <v>1</v>
      </c>
      <c r="J42" s="31"/>
      <c r="K42" s="31"/>
      <c r="L42" s="31"/>
      <c r="M42" s="31"/>
      <c r="N42" s="31"/>
      <c r="O42" s="31"/>
      <c r="P42" s="31"/>
      <c r="Q42" s="33"/>
    </row>
    <row r="43" spans="1:17" x14ac:dyDescent="0.3">
      <c r="A43" s="75" t="str">
        <f>IF(ISBLANK(J43),"",A$42)</f>
        <v/>
      </c>
      <c r="B43" s="76" t="str">
        <f>IF(ISBLANK(J43),"",B$42)</f>
        <v/>
      </c>
      <c r="C43" s="76" t="str">
        <f>IF(ISBLANK(J43),"",C$42)</f>
        <v/>
      </c>
      <c r="D43" s="76" t="str">
        <f>IF(ISBLANK(J43),"",D$42)</f>
        <v/>
      </c>
      <c r="E43" s="76" t="str">
        <f>IF(ISBLANK(J43),"",E$42)</f>
        <v/>
      </c>
      <c r="F43" s="76" t="str">
        <f>IF(ISBLANK(J43),"",F$42)</f>
        <v/>
      </c>
      <c r="G43" s="77" t="str">
        <f>IF(ISBLANK(J43),"",IF(ISBLANK(G$42),"",G$42))</f>
        <v/>
      </c>
      <c r="H43" s="78" t="str">
        <f>IF(ISBLANK(J43),"",IF(ISBLANK(H$42),"",H$42))</f>
        <v/>
      </c>
      <c r="I43" s="34">
        <v>2</v>
      </c>
      <c r="J43" s="35"/>
      <c r="K43" s="35"/>
      <c r="L43" s="35"/>
      <c r="M43" s="35"/>
      <c r="N43" s="35"/>
      <c r="O43" s="35"/>
      <c r="P43" s="35"/>
      <c r="Q43" s="36"/>
    </row>
    <row r="44" spans="1:17" x14ac:dyDescent="0.3">
      <c r="A44" s="75" t="str">
        <f>IF(ISBLANK(J44),"",A$42)</f>
        <v/>
      </c>
      <c r="B44" s="76" t="str">
        <f>IF(ISBLANK(J44),"",B$42)</f>
        <v/>
      </c>
      <c r="C44" s="76" t="str">
        <f>IF(ISBLANK(J44),"",C$42)</f>
        <v/>
      </c>
      <c r="D44" s="76" t="str">
        <f>IF(ISBLANK(J44),"",D$42)</f>
        <v/>
      </c>
      <c r="E44" s="76" t="str">
        <f>IF(ISBLANK(J44),"",E$42)</f>
        <v/>
      </c>
      <c r="F44" s="76" t="str">
        <f>IF(ISBLANK(J44),"",F$42)</f>
        <v/>
      </c>
      <c r="G44" s="76" t="str">
        <f t="shared" ref="G44:G46" si="16">IF(ISBLANK(J44),"",IF(ISBLANK(G$42),"",G$42))</f>
        <v/>
      </c>
      <c r="H44" s="79" t="str">
        <f t="shared" ref="H44" si="17">IF(ISBLANK(J44),"",IF(ISBLANK(H$42),"",H$42))</f>
        <v/>
      </c>
      <c r="I44" s="34">
        <v>3</v>
      </c>
      <c r="J44" s="35"/>
      <c r="K44" s="35"/>
      <c r="L44" s="35"/>
      <c r="M44" s="35"/>
      <c r="N44" s="35"/>
      <c r="O44" s="35"/>
      <c r="P44" s="35"/>
      <c r="Q44" s="36"/>
    </row>
    <row r="45" spans="1:17" x14ac:dyDescent="0.3">
      <c r="A45" s="75" t="str">
        <f>IF(ISBLANK(J45),"",A$42)</f>
        <v/>
      </c>
      <c r="B45" s="76" t="str">
        <f>IF(ISBLANK(J45),"",B$42)</f>
        <v/>
      </c>
      <c r="C45" s="76" t="str">
        <f>IF(ISBLANK(J45),"",C$42)</f>
        <v/>
      </c>
      <c r="D45" s="76" t="str">
        <f>IF(ISBLANK(J45),"",D$42)</f>
        <v/>
      </c>
      <c r="E45" s="76" t="str">
        <f>IF(ISBLANK(J45),"",E$42)</f>
        <v/>
      </c>
      <c r="F45" s="76" t="str">
        <f>IF(ISBLANK(J45),"",F$42)</f>
        <v/>
      </c>
      <c r="G45" s="76" t="str">
        <f t="shared" si="16"/>
        <v/>
      </c>
      <c r="H45" s="79" t="str">
        <f>IF(ISBLANK(J45),"",IF(ISBLANK(H$42),"",H$42))</f>
        <v/>
      </c>
      <c r="I45" s="34">
        <v>4</v>
      </c>
      <c r="J45" s="35"/>
      <c r="K45" s="35"/>
      <c r="L45" s="35"/>
      <c r="M45" s="35"/>
      <c r="N45" s="35"/>
      <c r="O45" s="35"/>
      <c r="P45" s="35"/>
      <c r="Q45" s="36"/>
    </row>
    <row r="46" spans="1:17" ht="15" thickBot="1" x14ac:dyDescent="0.35">
      <c r="A46" s="80" t="str">
        <f>IF(ISBLANK(J46),"",A$42)</f>
        <v/>
      </c>
      <c r="B46" s="81" t="str">
        <f>IF(ISBLANK(J46),"",B$42)</f>
        <v/>
      </c>
      <c r="C46" s="81" t="str">
        <f>IF(ISBLANK(J46),"",C$42)</f>
        <v/>
      </c>
      <c r="D46" s="81" t="str">
        <f>IF(ISBLANK(J46),"",D$42)</f>
        <v/>
      </c>
      <c r="E46" s="81" t="str">
        <f>IF(ISBLANK(J46),"",E$42)</f>
        <v/>
      </c>
      <c r="F46" s="81" t="str">
        <f>IF(ISBLANK(J46),"",F$42)</f>
        <v/>
      </c>
      <c r="G46" s="81" t="str">
        <f t="shared" si="16"/>
        <v/>
      </c>
      <c r="H46" s="82" t="str">
        <f>IF(ISBLANK(J46),"",IF(ISBLANK(H$42),"",H$42))</f>
        <v/>
      </c>
      <c r="I46" s="37">
        <v>5</v>
      </c>
      <c r="J46" s="38"/>
      <c r="K46" s="38"/>
      <c r="L46" s="38"/>
      <c r="M46" s="38"/>
      <c r="N46" s="38"/>
      <c r="O46" s="38"/>
      <c r="P46" s="38"/>
      <c r="Q46" s="39"/>
    </row>
    <row r="47" spans="1:17" s="74" customFormat="1" x14ac:dyDescent="0.3">
      <c r="A47" s="118" t="str">
        <f>IF(ISBLANK(E47),"",A$2)</f>
        <v/>
      </c>
      <c r="B47" s="119"/>
      <c r="C47" s="108">
        <v>10</v>
      </c>
      <c r="D47" s="119"/>
      <c r="E47" s="119"/>
      <c r="F47" s="120"/>
      <c r="G47" s="115"/>
      <c r="H47" s="116"/>
      <c r="I47" s="40">
        <v>1</v>
      </c>
      <c r="J47" s="41"/>
      <c r="K47" s="41"/>
      <c r="L47" s="41"/>
      <c r="M47" s="41"/>
      <c r="N47" s="41"/>
      <c r="O47" s="41"/>
      <c r="P47" s="41"/>
      <c r="Q47" s="42"/>
    </row>
    <row r="48" spans="1:17" x14ac:dyDescent="0.3">
      <c r="A48" s="87" t="str">
        <f>IF(ISBLANK(J48),"",A$47)</f>
        <v/>
      </c>
      <c r="B48" s="88" t="str">
        <f>IF(ISBLANK(J48),"",B$47)</f>
        <v/>
      </c>
      <c r="C48" s="88" t="str">
        <f>IF(ISBLANK(J48),"",C$47)</f>
        <v/>
      </c>
      <c r="D48" s="88" t="str">
        <f>IF(ISBLANK(J48),"",D$47)</f>
        <v/>
      </c>
      <c r="E48" s="88" t="str">
        <f>IF(ISBLANK(J48),"",E$47)</f>
        <v/>
      </c>
      <c r="F48" s="88" t="str">
        <f>IF(ISBLANK(J48),"",F$47)</f>
        <v/>
      </c>
      <c r="G48" s="88" t="str">
        <f>IF(ISBLANK(J48),"",IF(ISBLANK(G$47),"",G$47))</f>
        <v/>
      </c>
      <c r="H48" s="89" t="str">
        <f>IF(ISBLANK(J48),"",IF(ISBLANK(H$47),"",H$47))</f>
        <v/>
      </c>
      <c r="I48" s="43">
        <v>2</v>
      </c>
      <c r="J48" s="44"/>
      <c r="K48" s="44"/>
      <c r="L48" s="44"/>
      <c r="M48" s="44"/>
      <c r="N48" s="44"/>
      <c r="O48" s="44"/>
      <c r="P48" s="44"/>
      <c r="Q48" s="45"/>
    </row>
    <row r="49" spans="1:17" x14ac:dyDescent="0.3">
      <c r="A49" s="90" t="str">
        <f>IF(ISBLANK(J49),"",A$47)</f>
        <v/>
      </c>
      <c r="B49" s="91" t="str">
        <f>IF(ISBLANK(J49),"",B$47)</f>
        <v/>
      </c>
      <c r="C49" s="91" t="str">
        <f>IF(ISBLANK(J49),"",C$47)</f>
        <v/>
      </c>
      <c r="D49" s="91" t="str">
        <f>IF(ISBLANK(J49),"",D$47)</f>
        <v/>
      </c>
      <c r="E49" s="91" t="str">
        <f>IF(ISBLANK(J49),"",E$47)</f>
        <v/>
      </c>
      <c r="F49" s="91" t="str">
        <f>IF(ISBLANK(J49),"",F$47)</f>
        <v/>
      </c>
      <c r="G49" s="91" t="str">
        <f>IF(ISBLANK(J49),"",IF(ISBLANK(G$47),"",G$47))</f>
        <v/>
      </c>
      <c r="H49" s="89" t="str">
        <f t="shared" ref="H49:H51" si="18">IF(ISBLANK(J49),"",IF(ISBLANK(H$47),"",H$47))</f>
        <v/>
      </c>
      <c r="I49" s="43">
        <v>3</v>
      </c>
      <c r="J49" s="44"/>
      <c r="K49" s="44"/>
      <c r="L49" s="44"/>
      <c r="M49" s="44"/>
      <c r="N49" s="44"/>
      <c r="O49" s="44"/>
      <c r="P49" s="44"/>
      <c r="Q49" s="45"/>
    </row>
    <row r="50" spans="1:17" x14ac:dyDescent="0.3">
      <c r="A50" s="90" t="str">
        <f>IF(ISBLANK(J50),"",A$47)</f>
        <v/>
      </c>
      <c r="B50" s="91" t="str">
        <f>IF(ISBLANK(J50),"",B$47)</f>
        <v/>
      </c>
      <c r="C50" s="91" t="str">
        <f>IF(ISBLANK(J50),"",C$47)</f>
        <v/>
      </c>
      <c r="D50" s="91" t="str">
        <f>IF(ISBLANK(J50),"",D$47)</f>
        <v/>
      </c>
      <c r="E50" s="91" t="str">
        <f>IF(ISBLANK(J50),"",E$47)</f>
        <v/>
      </c>
      <c r="F50" s="91" t="str">
        <f>IF(ISBLANK(J50),"",F$47)</f>
        <v/>
      </c>
      <c r="G50" s="91" t="str">
        <f t="shared" ref="G50:G51" si="19">IF(ISBLANK(J50),"",IF(ISBLANK(G$47),"",G$47))</f>
        <v/>
      </c>
      <c r="H50" s="89" t="str">
        <f t="shared" si="18"/>
        <v/>
      </c>
      <c r="I50" s="43">
        <v>4</v>
      </c>
      <c r="J50" s="44"/>
      <c r="K50" s="44"/>
      <c r="L50" s="44"/>
      <c r="M50" s="44"/>
      <c r="N50" s="44"/>
      <c r="O50" s="44"/>
      <c r="P50" s="44"/>
      <c r="Q50" s="45"/>
    </row>
    <row r="51" spans="1:17" ht="15" thickBot="1" x14ac:dyDescent="0.35">
      <c r="A51" s="94" t="str">
        <f>IF(ISBLANK(J51),"",A$47)</f>
        <v/>
      </c>
      <c r="B51" s="92" t="str">
        <f>IF(ISBLANK(J51),"",B$47)</f>
        <v/>
      </c>
      <c r="C51" s="92" t="str">
        <f>IF(ISBLANK(J51),"",C$47)</f>
        <v/>
      </c>
      <c r="D51" s="92" t="str">
        <f>IF(ISBLANK(J51),"",D$47)</f>
        <v/>
      </c>
      <c r="E51" s="92" t="str">
        <f>IF(ISBLANK(J51),"",E$47)</f>
        <v/>
      </c>
      <c r="F51" s="92" t="str">
        <f>IF(ISBLANK(J51),"",F$47)</f>
        <v/>
      </c>
      <c r="G51" s="92" t="str">
        <f t="shared" si="19"/>
        <v/>
      </c>
      <c r="H51" s="93" t="str">
        <f t="shared" si="18"/>
        <v/>
      </c>
      <c r="I51" s="50">
        <v>5</v>
      </c>
      <c r="J51" s="51"/>
      <c r="K51" s="51"/>
      <c r="L51" s="51"/>
      <c r="M51" s="51"/>
      <c r="N51" s="51"/>
      <c r="O51" s="51"/>
      <c r="P51" s="51"/>
      <c r="Q51" s="52"/>
    </row>
  </sheetData>
  <sheetProtection algorithmName="SHA-512" hashValue="tdoyO6SIRAZaa9GvmlCBv1dgcdIggIi4pV6qf+26YpKxOkWKa3uYZP/Hhjpq7BWpx/znvqG6ib3/t5okdk11Gg==" saltValue="cwOv696PBdCkQnTKHGbWKQ==" spinCount="100000" sheet="1" objects="1" scenarios="1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8DD2960-D773-425F-BBAF-2ECB61236ADB}">
          <x14:formula1>
            <xm:f>List_hub!$A$2:$A$11</xm:f>
          </x14:formula1>
          <xm:sqref>B2 B7 B17 B27 B37 B47 B12 B22 B32 B42</xm:sqref>
        </x14:dataValidation>
        <x14:dataValidation type="list" allowBlank="1" showInputMessage="1" showErrorMessage="1" xr:uid="{71708EA4-859B-43FB-A774-2B46D31BF6FE}">
          <x14:formula1>
            <xm:f>List_pilots!$A$2:$A$11</xm:f>
          </x14:formula1>
          <xm:sqref>D2 D7 D12 D17 D22 D27 D32 D37 D42 D47</xm:sqref>
        </x14:dataValidation>
        <x14:dataValidation type="list" allowBlank="1" showInputMessage="1" showErrorMessage="1" xr:uid="{4AAC1A4C-3DFC-49B6-818C-B64DED2FD881}">
          <x14:formula1>
            <xm:f>List_heli_managers!$A$2:$A$11</xm:f>
          </x14:formula1>
          <xm:sqref>E2:F2 E12:F12 E17:F17 E22:F22 E27:F27 E32:F32 E37:F37 E42:F42 E47:F47 E7:F7</xm:sqref>
        </x14:dataValidation>
        <x14:dataValidation type="list" allowBlank="1" showInputMessage="1" showErrorMessage="1" xr:uid="{5B41D968-FC39-4B07-8AD2-3FC42DBED737}">
          <x14:formula1>
            <xm:f>List_crew_leaders!$A$2:$A$31</xm:f>
          </x14:formula1>
          <xm:sqref>L2:L51</xm:sqref>
        </x14:dataValidation>
        <x14:dataValidation type="list" allowBlank="1" showInputMessage="1" showErrorMessage="1" xr:uid="{EF1E965F-876C-4078-B630-D8C3E2FE2D1B}">
          <x14:formula1>
            <xm:f>List_crew_members!$A$2:$A$31</xm:f>
          </x14:formula1>
          <xm:sqref>M2:P51</xm:sqref>
        </x14:dataValidation>
        <x14:dataValidation type="list" allowBlank="1" showInputMessage="1" showErrorMessage="1" xr:uid="{78556057-B7C8-4F1C-BD11-C708C099E53D}">
          <x14:formula1>
            <xm:f>List_plots!$A$2:$A$301</xm:f>
          </x14:formula1>
          <xm:sqref>J2:J47</xm:sqref>
        </x14:dataValidation>
        <x14:dataValidation type="list" allowBlank="1" showInputMessage="1" showErrorMessage="1" xr:uid="{0D2FD833-2DE3-447D-8A6E-F3E28D481F54}">
          <x14:formula1>
            <xm:f>List_phones!$A$2:$A$11</xm:f>
          </x14:formula1>
          <xm:sqref>K2:K51</xm:sqref>
        </x14:dataValidation>
        <x14:dataValidation type="list" allowBlank="1" showInputMessage="1" showErrorMessage="1" xr:uid="{63386EA5-2A62-4C10-A3F9-504BCBA546F3}">
          <x14:formula1>
            <xm:f>List_heli_managers!$D$1:$D$2</xm:f>
          </x14:formula1>
          <xm:sqref>F42 F37 F32 F27 F22 F17 F12 F2 F47 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C226-6103-48BB-A248-A08C9B87FF63}">
  <sheetPr>
    <tabColor rgb="FFFF7C80"/>
  </sheetPr>
  <dimension ref="A1:K173"/>
  <sheetViews>
    <sheetView zoomScaleNormal="100" workbookViewId="0">
      <selection activeCell="B19" sqref="B19"/>
    </sheetView>
  </sheetViews>
  <sheetFormatPr defaultColWidth="15.5546875" defaultRowHeight="14.4" x14ac:dyDescent="0.3"/>
  <cols>
    <col min="1" max="1" width="16" customWidth="1"/>
    <col min="2" max="2" width="7.6640625" customWidth="1"/>
    <col min="3" max="3" width="12.21875" customWidth="1"/>
    <col min="4" max="4" width="10.77734375" customWidth="1"/>
    <col min="5" max="5" width="17.88671875" bestFit="1" customWidth="1"/>
    <col min="6" max="6" width="16.88671875" customWidth="1"/>
    <col min="7" max="7" width="12.5546875" customWidth="1"/>
    <col min="8" max="8" width="10.77734375" bestFit="1" customWidth="1"/>
    <col min="9" max="9" width="23.6640625" bestFit="1" customWidth="1"/>
    <col min="10" max="10" width="19.44140625" customWidth="1"/>
  </cols>
  <sheetData>
    <row r="1" spans="1:11" ht="19.8" x14ac:dyDescent="0.3">
      <c r="A1" s="123" t="str">
        <f>_xlfn.CONCAT("Schedule for ",Flight_inventory!A2)</f>
        <v xml:space="preserve">Schedule for </v>
      </c>
      <c r="B1" s="123"/>
      <c r="C1" s="123"/>
      <c r="D1" s="123"/>
      <c r="E1" s="123"/>
      <c r="F1" s="123"/>
      <c r="G1" s="123"/>
      <c r="H1" s="123"/>
      <c r="I1" s="123"/>
      <c r="J1" s="123"/>
      <c r="K1" s="29"/>
    </row>
    <row r="3" spans="1:11" ht="27.6" x14ac:dyDescent="0.3">
      <c r="A3" s="12" t="s">
        <v>47</v>
      </c>
      <c r="B3" s="13" t="s">
        <v>31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45</v>
      </c>
      <c r="H3" s="13" t="s">
        <v>46</v>
      </c>
      <c r="I3" s="13" t="s">
        <v>40</v>
      </c>
      <c r="J3" s="14" t="s">
        <v>11</v>
      </c>
    </row>
    <row r="4" spans="1:11" s="10" customFormat="1" x14ac:dyDescent="0.3">
      <c r="A4" s="15" t="e" cm="1" vm="1">
        <f t="array" ref="A4">_xlfn._xlws.PY(0,0,Flight_inventory!A1:Q51,List_plots!A1:N301,List_phones!A1:B11,List_hub!A1:C11)</f>
        <v>#VALUE!</v>
      </c>
      <c r="B4" s="16"/>
      <c r="C4" s="16"/>
      <c r="D4" s="16"/>
      <c r="E4" s="16"/>
      <c r="F4" s="16"/>
      <c r="G4" s="16"/>
      <c r="H4" s="16"/>
      <c r="I4" s="16"/>
      <c r="J4" s="17"/>
    </row>
    <row r="5" spans="1:11" x14ac:dyDescent="0.3">
      <c r="A5" s="18"/>
      <c r="B5" s="19"/>
      <c r="C5" s="19"/>
      <c r="D5" s="19"/>
      <c r="E5" s="19"/>
      <c r="F5" s="19"/>
      <c r="G5" s="19"/>
      <c r="H5" s="19"/>
      <c r="I5" s="19"/>
      <c r="J5" s="20"/>
    </row>
    <row r="6" spans="1:11" x14ac:dyDescent="0.3">
      <c r="A6" s="18"/>
      <c r="B6" s="19"/>
      <c r="C6" s="19"/>
      <c r="D6" s="19"/>
      <c r="E6" s="19"/>
      <c r="F6" s="19"/>
      <c r="G6" s="19"/>
      <c r="H6" s="19"/>
      <c r="I6" s="19"/>
      <c r="J6" s="20"/>
    </row>
    <row r="7" spans="1:11" x14ac:dyDescent="0.3">
      <c r="A7" s="18"/>
      <c r="B7" s="19"/>
      <c r="C7" s="19"/>
      <c r="D7" s="19"/>
      <c r="E7" s="19"/>
      <c r="F7" s="19"/>
      <c r="G7" s="19"/>
      <c r="H7" s="19"/>
      <c r="I7" s="19"/>
      <c r="J7" s="20"/>
    </row>
    <row r="8" spans="1:11" x14ac:dyDescent="0.3">
      <c r="A8" s="21"/>
      <c r="B8" s="22"/>
      <c r="C8" s="22"/>
      <c r="D8" s="22"/>
      <c r="E8" s="22"/>
      <c r="F8" s="22"/>
      <c r="G8" s="22"/>
      <c r="H8" s="22"/>
      <c r="I8" s="22"/>
      <c r="J8" s="23"/>
    </row>
    <row r="9" spans="1:11" s="10" customFormat="1" x14ac:dyDescent="0.3">
      <c r="A9" s="24"/>
      <c r="B9" s="25"/>
      <c r="C9" s="25"/>
      <c r="D9" s="25"/>
      <c r="E9" s="25"/>
      <c r="F9" s="25"/>
      <c r="G9" s="25"/>
      <c r="H9" s="25"/>
      <c r="I9" s="25"/>
      <c r="J9" s="26"/>
    </row>
    <row r="10" spans="1:11" x14ac:dyDescent="0.3">
      <c r="A10" s="18"/>
      <c r="B10" s="19"/>
      <c r="C10" s="19"/>
      <c r="D10" s="19"/>
      <c r="E10" s="19"/>
      <c r="F10" s="19"/>
      <c r="G10" s="19"/>
      <c r="H10" s="19"/>
      <c r="I10" s="19"/>
      <c r="J10" s="20"/>
    </row>
    <row r="11" spans="1:11" x14ac:dyDescent="0.3">
      <c r="A11" s="18"/>
      <c r="B11" s="19"/>
      <c r="C11" s="19"/>
      <c r="D11" s="19"/>
      <c r="E11" s="19"/>
      <c r="F11" s="19"/>
      <c r="G11" s="19"/>
      <c r="H11" s="19"/>
      <c r="I11" s="19"/>
      <c r="J11" s="20"/>
    </row>
    <row r="12" spans="1:11" x14ac:dyDescent="0.3">
      <c r="A12" s="18"/>
      <c r="B12" s="19"/>
      <c r="C12" s="19"/>
      <c r="D12" s="19"/>
      <c r="E12" s="19"/>
      <c r="F12" s="19"/>
      <c r="G12" s="19"/>
      <c r="H12" s="19"/>
      <c r="I12" s="19"/>
      <c r="J12" s="20"/>
    </row>
    <row r="13" spans="1:11" x14ac:dyDescent="0.3">
      <c r="A13" s="18"/>
      <c r="B13" s="19"/>
      <c r="C13" s="19"/>
      <c r="D13" s="19"/>
      <c r="E13" s="19"/>
      <c r="F13" s="19"/>
      <c r="G13" s="27"/>
      <c r="H13" s="19"/>
      <c r="I13" s="19"/>
      <c r="J13" s="20"/>
    </row>
    <row r="14" spans="1:11" s="10" customFormat="1" x14ac:dyDescent="0.3">
      <c r="A14" s="28"/>
      <c r="B14" s="16"/>
      <c r="C14" s="16"/>
      <c r="D14" s="16"/>
      <c r="E14" s="16"/>
      <c r="F14" s="16"/>
      <c r="G14" s="16"/>
      <c r="H14" s="16"/>
      <c r="I14" s="16"/>
      <c r="J14" s="17"/>
    </row>
    <row r="15" spans="1:11" x14ac:dyDescent="0.3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1" x14ac:dyDescent="0.3">
      <c r="A16" s="18"/>
      <c r="B16" s="19"/>
      <c r="C16" s="19"/>
      <c r="D16" s="19"/>
      <c r="E16" s="19"/>
      <c r="F16" s="19"/>
      <c r="G16" s="19"/>
      <c r="H16" s="19"/>
      <c r="I16" s="19"/>
      <c r="J16" s="20"/>
    </row>
    <row r="17" spans="1:10" x14ac:dyDescent="0.3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 x14ac:dyDescent="0.3">
      <c r="A18" s="21"/>
      <c r="B18" s="22"/>
      <c r="C18" s="22"/>
      <c r="D18" s="22"/>
      <c r="E18" s="22"/>
      <c r="F18" s="22"/>
      <c r="G18" s="22"/>
      <c r="H18" s="22"/>
      <c r="I18" s="22"/>
      <c r="J18" s="23"/>
    </row>
    <row r="19" spans="1:10" s="10" customFormat="1" x14ac:dyDescent="0.3">
      <c r="A19" s="24"/>
      <c r="B19" s="25"/>
      <c r="C19" s="25"/>
      <c r="D19" s="25"/>
      <c r="E19" s="25"/>
      <c r="F19" s="25"/>
      <c r="G19" s="25"/>
      <c r="H19" s="25"/>
      <c r="I19" s="25"/>
      <c r="J19" s="26"/>
    </row>
    <row r="20" spans="1:10" x14ac:dyDescent="0.3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 x14ac:dyDescent="0.3">
      <c r="A21" s="18"/>
      <c r="B21" s="19"/>
      <c r="C21" s="19"/>
      <c r="D21" s="19"/>
      <c r="E21" s="19"/>
      <c r="F21" s="19"/>
      <c r="G21" s="19"/>
      <c r="H21" s="19"/>
      <c r="I21" s="19"/>
      <c r="J21" s="20"/>
    </row>
    <row r="22" spans="1:10" x14ac:dyDescent="0.3">
      <c r="A22" s="18"/>
      <c r="B22" s="19"/>
      <c r="C22" s="19"/>
      <c r="D22" s="19"/>
      <c r="E22" s="19"/>
      <c r="F22" s="19"/>
      <c r="G22" s="19"/>
      <c r="H22" s="19"/>
      <c r="I22" s="19"/>
      <c r="J22" s="20"/>
    </row>
    <row r="23" spans="1:10" x14ac:dyDescent="0.3">
      <c r="A23" s="18"/>
      <c r="B23" s="19"/>
      <c r="C23" s="19"/>
      <c r="D23" s="19"/>
      <c r="E23" s="19"/>
      <c r="F23" s="19"/>
      <c r="G23" s="19"/>
      <c r="H23" s="19"/>
      <c r="I23" s="19"/>
      <c r="J23" s="20"/>
    </row>
    <row r="24" spans="1:10" s="10" customFormat="1" x14ac:dyDescent="0.3">
      <c r="A24" s="28"/>
      <c r="B24" s="16"/>
      <c r="C24" s="16"/>
      <c r="D24" s="16"/>
      <c r="E24" s="16"/>
      <c r="F24" s="16"/>
      <c r="G24" s="16"/>
      <c r="H24" s="16"/>
      <c r="I24" s="16"/>
      <c r="J24" s="17"/>
    </row>
    <row r="25" spans="1:10" x14ac:dyDescent="0.3">
      <c r="A25" s="18"/>
      <c r="B25" s="19"/>
      <c r="C25" s="19"/>
      <c r="D25" s="19"/>
      <c r="E25" s="19"/>
      <c r="F25" s="19"/>
      <c r="G25" s="19"/>
      <c r="H25" s="19"/>
      <c r="I25" s="19"/>
      <c r="J25" s="20"/>
    </row>
    <row r="26" spans="1:10" x14ac:dyDescent="0.3">
      <c r="A26" s="18"/>
      <c r="B26" s="19"/>
      <c r="C26" s="19"/>
      <c r="D26" s="19"/>
      <c r="E26" s="19"/>
      <c r="F26" s="19"/>
      <c r="G26" s="19"/>
      <c r="H26" s="19"/>
      <c r="I26" s="19"/>
      <c r="J26" s="20"/>
    </row>
    <row r="27" spans="1:10" x14ac:dyDescent="0.3">
      <c r="A27" s="18"/>
      <c r="B27" s="19"/>
      <c r="C27" s="19"/>
      <c r="D27" s="19"/>
      <c r="E27" s="19"/>
      <c r="F27" s="19"/>
      <c r="G27" s="19"/>
      <c r="H27" s="19"/>
      <c r="I27" s="19"/>
      <c r="J27" s="20"/>
    </row>
    <row r="28" spans="1:10" x14ac:dyDescent="0.3">
      <c r="A28" s="21"/>
      <c r="B28" s="22"/>
      <c r="C28" s="22"/>
      <c r="D28" s="22"/>
      <c r="E28" s="22"/>
      <c r="F28" s="22"/>
      <c r="G28" s="22"/>
      <c r="H28" s="22"/>
      <c r="I28" s="22"/>
      <c r="J28" s="23"/>
    </row>
    <row r="29" spans="1:10" s="10" customFormat="1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6"/>
    </row>
    <row r="30" spans="1:10" x14ac:dyDescent="0.3">
      <c r="A30" s="18"/>
      <c r="B30" s="19"/>
      <c r="C30" s="19"/>
      <c r="D30" s="19"/>
      <c r="E30" s="19"/>
      <c r="F30" s="19"/>
      <c r="G30" s="19"/>
      <c r="H30" s="19"/>
      <c r="I30" s="19"/>
      <c r="J30" s="20"/>
    </row>
    <row r="31" spans="1:10" x14ac:dyDescent="0.3">
      <c r="A31" s="18"/>
      <c r="B31" s="19"/>
      <c r="C31" s="19"/>
      <c r="D31" s="19"/>
      <c r="E31" s="19"/>
      <c r="F31" s="19"/>
      <c r="G31" s="19"/>
      <c r="H31" s="19"/>
      <c r="I31" s="19"/>
      <c r="J31" s="20"/>
    </row>
    <row r="32" spans="1:10" x14ac:dyDescent="0.3">
      <c r="A32" s="18"/>
      <c r="B32" s="19"/>
      <c r="C32" s="19"/>
      <c r="D32" s="19"/>
      <c r="E32" s="19"/>
      <c r="F32" s="19"/>
      <c r="G32" s="19"/>
      <c r="H32" s="19"/>
      <c r="I32" s="19"/>
      <c r="J32" s="20"/>
    </row>
    <row r="33" spans="1:10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3"/>
    </row>
    <row r="34" spans="1:10" s="10" customFormat="1" x14ac:dyDescent="0.3">
      <c r="A34" s="28"/>
      <c r="B34" s="16"/>
      <c r="C34" s="16"/>
      <c r="D34" s="16"/>
      <c r="E34" s="16"/>
      <c r="F34" s="16"/>
      <c r="G34" s="16"/>
      <c r="H34" s="16"/>
      <c r="I34" s="16"/>
      <c r="J34" s="17"/>
    </row>
    <row r="35" spans="1:10" x14ac:dyDescent="0.3">
      <c r="A35" s="18"/>
      <c r="B35" s="19"/>
      <c r="C35" s="19"/>
      <c r="D35" s="19"/>
      <c r="E35" s="19"/>
      <c r="F35" s="19"/>
      <c r="G35" s="19"/>
      <c r="H35" s="19"/>
      <c r="I35" s="19"/>
      <c r="J35" s="20"/>
    </row>
    <row r="36" spans="1:10" x14ac:dyDescent="0.3">
      <c r="A36" s="18"/>
      <c r="B36" s="19"/>
      <c r="C36" s="19"/>
      <c r="D36" s="19"/>
      <c r="E36" s="19"/>
      <c r="F36" s="19"/>
      <c r="G36" s="19"/>
      <c r="H36" s="19"/>
      <c r="I36" s="19"/>
      <c r="J36" s="20"/>
    </row>
    <row r="37" spans="1:10" x14ac:dyDescent="0.3">
      <c r="A37" s="18"/>
      <c r="B37" s="19"/>
      <c r="C37" s="19"/>
      <c r="D37" s="19"/>
      <c r="E37" s="19"/>
      <c r="F37" s="19"/>
      <c r="G37" s="19"/>
      <c r="H37" s="19"/>
      <c r="I37" s="19"/>
      <c r="J37" s="20"/>
    </row>
    <row r="38" spans="1:10" x14ac:dyDescent="0.3">
      <c r="A38" s="21"/>
      <c r="B38" s="22"/>
      <c r="C38" s="22"/>
      <c r="D38" s="22"/>
      <c r="E38" s="22"/>
      <c r="F38" s="22"/>
      <c r="G38" s="22"/>
      <c r="H38" s="22"/>
      <c r="I38" s="22"/>
      <c r="J38" s="23"/>
    </row>
    <row r="39" spans="1:10" s="10" customFormat="1" x14ac:dyDescent="0.3">
      <c r="A39" s="24"/>
      <c r="B39" s="25"/>
      <c r="C39" s="25"/>
      <c r="D39" s="25"/>
      <c r="E39" s="25"/>
      <c r="F39" s="25"/>
      <c r="G39" s="25"/>
      <c r="H39" s="25"/>
      <c r="I39" s="25"/>
      <c r="J39" s="26"/>
    </row>
    <row r="40" spans="1:10" x14ac:dyDescent="0.3">
      <c r="A40" s="18"/>
      <c r="B40" s="19"/>
      <c r="C40" s="19"/>
      <c r="D40" s="19"/>
      <c r="E40" s="19"/>
      <c r="F40" s="19"/>
      <c r="G40" s="19"/>
      <c r="H40" s="19"/>
      <c r="I40" s="19"/>
      <c r="J40" s="20"/>
    </row>
    <row r="41" spans="1:10" x14ac:dyDescent="0.3">
      <c r="A41" s="18"/>
      <c r="B41" s="19"/>
      <c r="C41" s="19"/>
      <c r="D41" s="19"/>
      <c r="E41" s="19"/>
      <c r="F41" s="19"/>
      <c r="G41" s="19"/>
      <c r="H41" s="19"/>
      <c r="I41" s="19"/>
      <c r="J41" s="20"/>
    </row>
    <row r="42" spans="1:10" x14ac:dyDescent="0.3">
      <c r="A42" s="18"/>
      <c r="B42" s="19"/>
      <c r="C42" s="19"/>
      <c r="D42" s="19"/>
      <c r="E42" s="19"/>
      <c r="F42" s="19"/>
      <c r="G42" s="19"/>
      <c r="H42" s="19"/>
      <c r="I42" s="19"/>
      <c r="J42" s="20"/>
    </row>
    <row r="43" spans="1:10" x14ac:dyDescent="0.3">
      <c r="A43" s="18"/>
      <c r="B43" s="19"/>
      <c r="C43" s="19"/>
      <c r="D43" s="19"/>
      <c r="E43" s="19"/>
      <c r="F43" s="19"/>
      <c r="G43" s="19"/>
      <c r="H43" s="19"/>
      <c r="I43" s="19"/>
      <c r="J43" s="20"/>
    </row>
    <row r="44" spans="1:10" s="10" customFormat="1" x14ac:dyDescent="0.3">
      <c r="A44" s="28"/>
      <c r="B44" s="16"/>
      <c r="C44" s="16"/>
      <c r="D44" s="16"/>
      <c r="E44" s="16"/>
      <c r="F44" s="16"/>
      <c r="G44" s="16"/>
      <c r="H44" s="16"/>
      <c r="I44" s="16"/>
      <c r="J44" s="17"/>
    </row>
    <row r="45" spans="1:10" x14ac:dyDescent="0.3">
      <c r="A45" s="18"/>
      <c r="B45" s="19"/>
      <c r="C45" s="19"/>
      <c r="D45" s="19"/>
      <c r="E45" s="19"/>
      <c r="F45" s="19"/>
      <c r="G45" s="19"/>
      <c r="H45" s="19"/>
      <c r="I45" s="19"/>
      <c r="J45" s="20"/>
    </row>
    <row r="46" spans="1:10" x14ac:dyDescent="0.3">
      <c r="A46" s="18"/>
      <c r="B46" s="19"/>
      <c r="C46" s="19"/>
      <c r="D46" s="19"/>
      <c r="E46" s="19"/>
      <c r="F46" s="19"/>
      <c r="G46" s="19"/>
      <c r="H46" s="19"/>
      <c r="I46" s="19"/>
      <c r="J46" s="20"/>
    </row>
    <row r="47" spans="1:10" x14ac:dyDescent="0.3">
      <c r="A47" s="18"/>
      <c r="B47" s="19"/>
      <c r="C47" s="19"/>
      <c r="D47" s="19"/>
      <c r="E47" s="19"/>
      <c r="F47" s="19"/>
      <c r="G47" s="19"/>
      <c r="H47" s="19"/>
      <c r="I47" s="19"/>
      <c r="J47" s="20"/>
    </row>
    <row r="48" spans="1:10" x14ac:dyDescent="0.3">
      <c r="A48" s="21"/>
      <c r="B48" s="22"/>
      <c r="C48" s="22"/>
      <c r="D48" s="22"/>
      <c r="E48" s="22"/>
      <c r="F48" s="22"/>
      <c r="G48" s="22"/>
      <c r="H48" s="22"/>
      <c r="I48" s="22"/>
      <c r="J48" s="23"/>
    </row>
    <row r="49" spans="1:10" s="10" customFormat="1" x14ac:dyDescent="0.3">
      <c r="A49" s="24"/>
      <c r="B49" s="25"/>
      <c r="C49" s="25"/>
      <c r="D49" s="25"/>
      <c r="E49" s="25"/>
      <c r="F49" s="25"/>
      <c r="G49" s="25"/>
      <c r="H49" s="25"/>
      <c r="I49" s="25"/>
      <c r="J49" s="26"/>
    </row>
    <row r="50" spans="1:10" x14ac:dyDescent="0.3">
      <c r="A50" s="18"/>
      <c r="B50" s="19"/>
      <c r="C50" s="19"/>
      <c r="D50" s="19"/>
      <c r="E50" s="19"/>
      <c r="F50" s="19"/>
      <c r="G50" s="19"/>
      <c r="H50" s="19"/>
      <c r="I50" s="19"/>
      <c r="J50" s="20"/>
    </row>
    <row r="51" spans="1:10" x14ac:dyDescent="0.3">
      <c r="A51" s="18"/>
      <c r="B51" s="19"/>
      <c r="C51" s="19"/>
      <c r="D51" s="19"/>
      <c r="E51" s="19"/>
      <c r="F51" s="19"/>
      <c r="G51" s="19"/>
      <c r="H51" s="19"/>
      <c r="I51" s="19"/>
      <c r="J51" s="20"/>
    </row>
    <row r="52" spans="1:10" x14ac:dyDescent="0.3">
      <c r="A52" s="18"/>
      <c r="B52" s="19"/>
      <c r="C52" s="19"/>
      <c r="D52" s="19"/>
      <c r="E52" s="19"/>
      <c r="F52" s="19"/>
      <c r="G52" s="19"/>
      <c r="H52" s="19"/>
      <c r="I52" s="19"/>
      <c r="J52" s="20"/>
    </row>
    <row r="53" spans="1:10" x14ac:dyDescent="0.3">
      <c r="A53" s="21"/>
      <c r="B53" s="22"/>
      <c r="C53" s="22"/>
      <c r="D53" s="22"/>
      <c r="E53" s="22"/>
      <c r="F53" s="22"/>
      <c r="G53" s="22"/>
      <c r="H53" s="22"/>
      <c r="I53" s="22"/>
      <c r="J53" s="23"/>
    </row>
    <row r="54" spans="1:10" s="10" customFormat="1" x14ac:dyDescent="0.3">
      <c r="A54" s="11"/>
      <c r="B54" s="8"/>
      <c r="C54" s="8"/>
      <c r="D54" s="8"/>
      <c r="E54" s="8"/>
      <c r="F54" s="8"/>
      <c r="G54" s="8"/>
      <c r="H54" s="8"/>
      <c r="I54" s="8"/>
      <c r="J54" s="9"/>
    </row>
    <row r="55" spans="1:10" x14ac:dyDescent="0.3">
      <c r="A55" s="3"/>
      <c r="J55" s="4"/>
    </row>
    <row r="56" spans="1:10" x14ac:dyDescent="0.3">
      <c r="A56" s="3"/>
      <c r="J56" s="4"/>
    </row>
    <row r="57" spans="1:10" x14ac:dyDescent="0.3">
      <c r="A57" s="3"/>
      <c r="J57" s="4"/>
    </row>
    <row r="58" spans="1:10" x14ac:dyDescent="0.3">
      <c r="A58" s="5"/>
      <c r="B58" s="6"/>
      <c r="C58" s="6"/>
      <c r="D58" s="6"/>
      <c r="E58" s="6"/>
      <c r="F58" s="6"/>
      <c r="G58" s="6"/>
      <c r="H58" s="6"/>
      <c r="I58" s="6"/>
      <c r="J58" s="7"/>
    </row>
    <row r="59" spans="1:10" s="10" customFormat="1" x14ac:dyDescent="0.3">
      <c r="A59" s="11"/>
      <c r="B59" s="8"/>
      <c r="C59" s="8"/>
      <c r="D59" s="8"/>
      <c r="E59" s="8"/>
      <c r="F59" s="8"/>
      <c r="G59" s="8"/>
      <c r="H59" s="8"/>
      <c r="I59" s="8"/>
      <c r="J59" s="9"/>
    </row>
    <row r="60" spans="1:10" x14ac:dyDescent="0.3">
      <c r="A60" s="3"/>
      <c r="J60" s="4"/>
    </row>
    <row r="61" spans="1:10" x14ac:dyDescent="0.3">
      <c r="A61" s="3"/>
      <c r="J61" s="4"/>
    </row>
    <row r="62" spans="1:10" x14ac:dyDescent="0.3">
      <c r="A62" s="3"/>
      <c r="J62" s="4"/>
    </row>
    <row r="63" spans="1:10" x14ac:dyDescent="0.3">
      <c r="A63" s="5"/>
      <c r="B63" s="6"/>
      <c r="C63" s="6"/>
      <c r="D63" s="6"/>
      <c r="E63" s="6"/>
      <c r="F63" s="6"/>
      <c r="G63" s="6"/>
      <c r="H63" s="6"/>
      <c r="I63" s="6"/>
      <c r="J63" s="7"/>
    </row>
    <row r="64" spans="1:10" s="10" customFormat="1" x14ac:dyDescent="0.3">
      <c r="A64" s="11"/>
      <c r="B64" s="8"/>
      <c r="C64" s="8"/>
      <c r="D64" s="8"/>
      <c r="E64" s="8"/>
      <c r="F64" s="8"/>
      <c r="G64" s="8"/>
      <c r="H64" s="8"/>
      <c r="I64" s="8"/>
      <c r="J64" s="9"/>
    </row>
    <row r="65" spans="1:10" x14ac:dyDescent="0.3">
      <c r="A65" s="3"/>
      <c r="J65" s="4"/>
    </row>
    <row r="66" spans="1:10" x14ac:dyDescent="0.3">
      <c r="A66" s="3"/>
      <c r="J66" s="4"/>
    </row>
    <row r="67" spans="1:10" x14ac:dyDescent="0.3">
      <c r="A67" s="3"/>
      <c r="J67" s="4"/>
    </row>
    <row r="68" spans="1:10" x14ac:dyDescent="0.3">
      <c r="A68" s="5"/>
      <c r="B68" s="6"/>
      <c r="C68" s="6"/>
      <c r="D68" s="6"/>
      <c r="E68" s="6"/>
      <c r="F68" s="6"/>
      <c r="G68" s="6"/>
      <c r="H68" s="6"/>
      <c r="I68" s="6"/>
      <c r="J68" s="7"/>
    </row>
    <row r="69" spans="1:10" s="10" customFormat="1" x14ac:dyDescent="0.3">
      <c r="A69" s="11"/>
      <c r="B69" s="8"/>
      <c r="C69" s="8"/>
      <c r="D69" s="8"/>
      <c r="E69" s="8"/>
      <c r="F69" s="8"/>
      <c r="G69" s="8"/>
      <c r="H69" s="8"/>
      <c r="I69" s="8"/>
      <c r="J69" s="9"/>
    </row>
    <row r="70" spans="1:10" x14ac:dyDescent="0.3">
      <c r="A70" s="3"/>
      <c r="J70" s="4"/>
    </row>
    <row r="71" spans="1:10" x14ac:dyDescent="0.3">
      <c r="A71" s="3"/>
      <c r="J71" s="4"/>
    </row>
    <row r="72" spans="1:10" x14ac:dyDescent="0.3">
      <c r="A72" s="3"/>
      <c r="J72" s="4"/>
    </row>
    <row r="73" spans="1:10" x14ac:dyDescent="0.3">
      <c r="A73" s="5"/>
      <c r="B73" s="6"/>
      <c r="C73" s="6"/>
      <c r="D73" s="6"/>
      <c r="E73" s="6"/>
      <c r="F73" s="6"/>
      <c r="G73" s="6"/>
      <c r="H73" s="6"/>
      <c r="I73" s="6"/>
      <c r="J73" s="7"/>
    </row>
    <row r="74" spans="1:10" s="10" customFormat="1" x14ac:dyDescent="0.3">
      <c r="A74" s="11"/>
      <c r="B74" s="8"/>
      <c r="C74" s="8"/>
      <c r="D74" s="8"/>
      <c r="E74" s="8"/>
      <c r="F74" s="8"/>
      <c r="G74" s="8"/>
      <c r="H74" s="8"/>
      <c r="I74" s="8"/>
      <c r="J74" s="9"/>
    </row>
    <row r="75" spans="1:10" x14ac:dyDescent="0.3">
      <c r="A75" s="3"/>
      <c r="J75" s="4"/>
    </row>
    <row r="76" spans="1:10" x14ac:dyDescent="0.3">
      <c r="A76" s="3"/>
      <c r="J76" s="4"/>
    </row>
    <row r="77" spans="1:10" x14ac:dyDescent="0.3">
      <c r="A77" s="3"/>
      <c r="J77" s="4"/>
    </row>
    <row r="78" spans="1:10" x14ac:dyDescent="0.3">
      <c r="A78" s="5"/>
      <c r="B78" s="6"/>
      <c r="C78" s="6"/>
      <c r="D78" s="6"/>
      <c r="E78" s="6"/>
      <c r="F78" s="6"/>
      <c r="G78" s="6"/>
      <c r="H78" s="6"/>
      <c r="I78" s="6"/>
      <c r="J78" s="7"/>
    </row>
    <row r="79" spans="1:10" s="10" customFormat="1" x14ac:dyDescent="0.3">
      <c r="A79" s="11"/>
      <c r="B79" s="8"/>
      <c r="C79" s="8"/>
      <c r="D79" s="8"/>
      <c r="E79" s="8"/>
      <c r="F79" s="8"/>
      <c r="G79" s="8"/>
      <c r="H79" s="8"/>
      <c r="I79" s="8"/>
      <c r="J79" s="9"/>
    </row>
    <row r="80" spans="1:10" x14ac:dyDescent="0.3">
      <c r="A80" s="3"/>
      <c r="J80" s="4"/>
    </row>
    <row r="81" spans="1:10" x14ac:dyDescent="0.3">
      <c r="A81" s="3"/>
      <c r="J81" s="4"/>
    </row>
    <row r="82" spans="1:10" x14ac:dyDescent="0.3">
      <c r="A82" s="3"/>
      <c r="J82" s="4"/>
    </row>
    <row r="83" spans="1:10" x14ac:dyDescent="0.3">
      <c r="A83" s="5"/>
      <c r="B83" s="6"/>
      <c r="C83" s="6"/>
      <c r="D83" s="6"/>
      <c r="E83" s="6"/>
      <c r="F83" s="6"/>
      <c r="G83" s="6"/>
      <c r="H83" s="6"/>
      <c r="I83" s="6"/>
      <c r="J83" s="7"/>
    </row>
    <row r="84" spans="1:10" s="10" customFormat="1" x14ac:dyDescent="0.3">
      <c r="A84" s="11"/>
      <c r="B84" s="8"/>
      <c r="C84" s="8"/>
      <c r="D84" s="8"/>
      <c r="E84" s="8"/>
      <c r="F84" s="8"/>
      <c r="G84" s="8"/>
      <c r="H84" s="8"/>
      <c r="I84" s="8"/>
      <c r="J84" s="9"/>
    </row>
    <row r="85" spans="1:10" x14ac:dyDescent="0.3">
      <c r="A85" s="3"/>
      <c r="J85" s="4"/>
    </row>
    <row r="86" spans="1:10" x14ac:dyDescent="0.3">
      <c r="A86" s="3"/>
      <c r="J86" s="4"/>
    </row>
    <row r="87" spans="1:10" x14ac:dyDescent="0.3">
      <c r="A87" s="3"/>
      <c r="J87" s="4"/>
    </row>
    <row r="88" spans="1:10" x14ac:dyDescent="0.3">
      <c r="A88" s="5"/>
      <c r="B88" s="6"/>
      <c r="C88" s="6"/>
      <c r="D88" s="6"/>
      <c r="E88" s="6"/>
      <c r="F88" s="6"/>
      <c r="G88" s="6"/>
      <c r="H88" s="6"/>
      <c r="I88" s="6"/>
      <c r="J88" s="7"/>
    </row>
    <row r="89" spans="1:10" s="10" customFormat="1" x14ac:dyDescent="0.3">
      <c r="A89" s="11"/>
      <c r="B89" s="8"/>
      <c r="C89" s="8"/>
      <c r="D89" s="8"/>
      <c r="E89" s="8"/>
      <c r="F89" s="8"/>
      <c r="G89" s="8"/>
      <c r="H89" s="8"/>
      <c r="I89" s="8"/>
      <c r="J89" s="9"/>
    </row>
    <row r="90" spans="1:10" x14ac:dyDescent="0.3">
      <c r="A90" s="3"/>
      <c r="J90" s="4"/>
    </row>
    <row r="91" spans="1:10" x14ac:dyDescent="0.3">
      <c r="A91" s="3"/>
      <c r="J91" s="4"/>
    </row>
    <row r="92" spans="1:10" x14ac:dyDescent="0.3">
      <c r="A92" s="3"/>
      <c r="J92" s="4"/>
    </row>
    <row r="93" spans="1:10" x14ac:dyDescent="0.3">
      <c r="A93" s="5"/>
      <c r="B93" s="6"/>
      <c r="C93" s="6"/>
      <c r="D93" s="6"/>
      <c r="E93" s="6"/>
      <c r="F93" s="6"/>
      <c r="G93" s="6"/>
      <c r="H93" s="6"/>
      <c r="I93" s="6"/>
      <c r="J93" s="7"/>
    </row>
    <row r="94" spans="1:10" s="10" customFormat="1" x14ac:dyDescent="0.3">
      <c r="A94" s="11"/>
      <c r="B94" s="8"/>
      <c r="C94" s="8"/>
      <c r="D94" s="8"/>
      <c r="E94" s="8"/>
      <c r="F94" s="8"/>
      <c r="G94" s="8"/>
      <c r="H94" s="8"/>
      <c r="I94" s="8"/>
      <c r="J94" s="9"/>
    </row>
    <row r="95" spans="1:10" x14ac:dyDescent="0.3">
      <c r="A95" s="3"/>
      <c r="J95" s="4"/>
    </row>
    <row r="96" spans="1:10" x14ac:dyDescent="0.3">
      <c r="A96" s="3"/>
      <c r="J96" s="4"/>
    </row>
    <row r="97" spans="1:10" x14ac:dyDescent="0.3">
      <c r="A97" s="3"/>
      <c r="J97" s="4"/>
    </row>
    <row r="98" spans="1:10" x14ac:dyDescent="0.3">
      <c r="A98" s="5"/>
      <c r="B98" s="6"/>
      <c r="C98" s="6"/>
      <c r="D98" s="6"/>
      <c r="E98" s="6"/>
      <c r="F98" s="6"/>
      <c r="G98" s="6"/>
      <c r="H98" s="6"/>
      <c r="I98" s="6"/>
      <c r="J98" s="7"/>
    </row>
    <row r="99" spans="1:10" s="10" customFormat="1" x14ac:dyDescent="0.3">
      <c r="A99" s="11"/>
      <c r="B99" s="8"/>
      <c r="C99" s="8"/>
      <c r="D99" s="8"/>
      <c r="E99" s="8"/>
      <c r="F99" s="8"/>
      <c r="G99" s="8"/>
      <c r="H99" s="8"/>
      <c r="I99" s="8"/>
      <c r="J99" s="9"/>
    </row>
    <row r="100" spans="1:10" x14ac:dyDescent="0.3">
      <c r="A100" s="3"/>
      <c r="J100" s="4"/>
    </row>
    <row r="101" spans="1:10" x14ac:dyDescent="0.3">
      <c r="A101" s="3"/>
      <c r="J101" s="4"/>
    </row>
    <row r="102" spans="1:10" x14ac:dyDescent="0.3">
      <c r="A102" s="3"/>
      <c r="J102" s="4"/>
    </row>
    <row r="103" spans="1:10" x14ac:dyDescent="0.3">
      <c r="A103" s="5"/>
      <c r="B103" s="6"/>
      <c r="C103" s="6"/>
      <c r="D103" s="6"/>
      <c r="E103" s="6"/>
      <c r="F103" s="6"/>
      <c r="G103" s="6"/>
      <c r="H103" s="6"/>
      <c r="I103" s="6"/>
      <c r="J103" s="7"/>
    </row>
    <row r="104" spans="1:10" s="10" customFormat="1" x14ac:dyDescent="0.3">
      <c r="A104" s="11"/>
      <c r="B104" s="8"/>
      <c r="C104" s="8"/>
      <c r="D104" s="8"/>
      <c r="E104" s="8"/>
      <c r="F104" s="8"/>
      <c r="G104" s="8"/>
      <c r="H104" s="8"/>
      <c r="I104" s="8"/>
      <c r="J104" s="9"/>
    </row>
    <row r="105" spans="1:10" x14ac:dyDescent="0.3">
      <c r="A105" s="3"/>
      <c r="J105" s="4"/>
    </row>
    <row r="106" spans="1:10" x14ac:dyDescent="0.3">
      <c r="A106" s="3"/>
      <c r="J106" s="4"/>
    </row>
    <row r="107" spans="1:10" x14ac:dyDescent="0.3">
      <c r="A107" s="3"/>
      <c r="J107" s="4"/>
    </row>
    <row r="108" spans="1:10" x14ac:dyDescent="0.3">
      <c r="A108" s="5"/>
      <c r="B108" s="6"/>
      <c r="C108" s="6"/>
      <c r="D108" s="6"/>
      <c r="E108" s="6"/>
      <c r="F108" s="6"/>
      <c r="G108" s="6"/>
      <c r="H108" s="6"/>
      <c r="I108" s="6"/>
      <c r="J108" s="7"/>
    </row>
    <row r="109" spans="1:10" s="10" customFormat="1" x14ac:dyDescent="0.3">
      <c r="A109" s="11"/>
      <c r="B109" s="8"/>
      <c r="C109" s="8"/>
      <c r="D109" s="8"/>
      <c r="E109" s="8"/>
      <c r="F109" s="8"/>
      <c r="G109" s="8"/>
      <c r="H109" s="8"/>
      <c r="I109" s="8"/>
      <c r="J109" s="9"/>
    </row>
    <row r="110" spans="1:10" x14ac:dyDescent="0.3">
      <c r="A110" s="3"/>
      <c r="J110" s="4"/>
    </row>
    <row r="111" spans="1:10" x14ac:dyDescent="0.3">
      <c r="A111" s="3"/>
      <c r="J111" s="4"/>
    </row>
    <row r="112" spans="1:10" x14ac:dyDescent="0.3">
      <c r="A112" s="3"/>
      <c r="J112" s="4"/>
    </row>
    <row r="113" spans="1:10" x14ac:dyDescent="0.3">
      <c r="A113" s="5"/>
      <c r="B113" s="6"/>
      <c r="C113" s="6"/>
      <c r="D113" s="6"/>
      <c r="E113" s="6"/>
      <c r="F113" s="6"/>
      <c r="G113" s="6"/>
      <c r="H113" s="6"/>
      <c r="I113" s="6"/>
      <c r="J113" s="7"/>
    </row>
    <row r="114" spans="1:10" s="10" customFormat="1" x14ac:dyDescent="0.3">
      <c r="A114" s="11"/>
      <c r="B114" s="8"/>
      <c r="C114" s="8"/>
      <c r="D114" s="8"/>
      <c r="E114" s="8"/>
      <c r="F114" s="8"/>
      <c r="G114" s="8"/>
      <c r="H114" s="8"/>
      <c r="I114" s="8"/>
      <c r="J114" s="9"/>
    </row>
    <row r="115" spans="1:10" x14ac:dyDescent="0.3">
      <c r="A115" s="3"/>
      <c r="J115" s="4"/>
    </row>
    <row r="116" spans="1:10" x14ac:dyDescent="0.3">
      <c r="A116" s="3"/>
      <c r="J116" s="4"/>
    </row>
    <row r="117" spans="1:10" x14ac:dyDescent="0.3">
      <c r="A117" s="3"/>
      <c r="J117" s="4"/>
    </row>
    <row r="118" spans="1:10" x14ac:dyDescent="0.3">
      <c r="A118" s="5"/>
      <c r="B118" s="6"/>
      <c r="C118" s="6"/>
      <c r="D118" s="6"/>
      <c r="E118" s="6"/>
      <c r="F118" s="6"/>
      <c r="G118" s="6"/>
      <c r="H118" s="6"/>
      <c r="I118" s="6"/>
      <c r="J118" s="7"/>
    </row>
    <row r="119" spans="1:10" s="10" customFormat="1" x14ac:dyDescent="0.3">
      <c r="A119" s="11"/>
      <c r="B119" s="8"/>
      <c r="C119" s="8"/>
      <c r="D119" s="8"/>
      <c r="E119" s="8"/>
      <c r="F119" s="8"/>
      <c r="G119" s="8"/>
      <c r="H119" s="8"/>
      <c r="I119" s="8"/>
      <c r="J119" s="9"/>
    </row>
    <row r="120" spans="1:10" x14ac:dyDescent="0.3">
      <c r="A120" s="3"/>
      <c r="J120" s="4"/>
    </row>
    <row r="121" spans="1:10" x14ac:dyDescent="0.3">
      <c r="A121" s="3"/>
      <c r="J121" s="4"/>
    </row>
    <row r="122" spans="1:10" x14ac:dyDescent="0.3">
      <c r="A122" s="3"/>
      <c r="J122" s="4"/>
    </row>
    <row r="123" spans="1:10" x14ac:dyDescent="0.3">
      <c r="A123" s="5"/>
      <c r="B123" s="6"/>
      <c r="C123" s="6"/>
      <c r="D123" s="6"/>
      <c r="E123" s="6"/>
      <c r="F123" s="6"/>
      <c r="G123" s="6"/>
      <c r="H123" s="6"/>
      <c r="I123" s="6"/>
      <c r="J123" s="7"/>
    </row>
    <row r="124" spans="1:10" s="10" customFormat="1" x14ac:dyDescent="0.3">
      <c r="A124" s="11"/>
      <c r="B124" s="8"/>
      <c r="C124" s="8"/>
      <c r="D124" s="8"/>
      <c r="E124" s="8"/>
      <c r="F124" s="8"/>
      <c r="G124" s="8"/>
      <c r="H124" s="8"/>
      <c r="I124" s="8"/>
      <c r="J124" s="9"/>
    </row>
    <row r="125" spans="1:10" x14ac:dyDescent="0.3">
      <c r="A125" s="3"/>
      <c r="J125" s="4"/>
    </row>
    <row r="126" spans="1:10" x14ac:dyDescent="0.3">
      <c r="A126" s="3"/>
      <c r="J126" s="4"/>
    </row>
    <row r="127" spans="1:10" x14ac:dyDescent="0.3">
      <c r="A127" s="3"/>
      <c r="J127" s="4"/>
    </row>
    <row r="128" spans="1:10" x14ac:dyDescent="0.3">
      <c r="A128" s="5"/>
      <c r="B128" s="6"/>
      <c r="C128" s="6"/>
      <c r="D128" s="6"/>
      <c r="E128" s="6"/>
      <c r="F128" s="6"/>
      <c r="G128" s="6"/>
      <c r="H128" s="6"/>
      <c r="I128" s="6"/>
      <c r="J128" s="7"/>
    </row>
    <row r="129" spans="1:10" s="10" customFormat="1" x14ac:dyDescent="0.3">
      <c r="A129" s="11"/>
      <c r="B129" s="8"/>
      <c r="C129" s="8"/>
      <c r="D129" s="8"/>
      <c r="E129" s="8"/>
      <c r="F129" s="8"/>
      <c r="G129" s="8"/>
      <c r="H129" s="8"/>
      <c r="I129" s="8"/>
      <c r="J129" s="9"/>
    </row>
    <row r="130" spans="1:10" x14ac:dyDescent="0.3">
      <c r="A130" s="3"/>
      <c r="J130" s="4"/>
    </row>
    <row r="131" spans="1:10" x14ac:dyDescent="0.3">
      <c r="A131" s="3"/>
      <c r="J131" s="4"/>
    </row>
    <row r="132" spans="1:10" x14ac:dyDescent="0.3">
      <c r="A132" s="3"/>
      <c r="J132" s="4"/>
    </row>
    <row r="133" spans="1:10" x14ac:dyDescent="0.3">
      <c r="A133" s="5"/>
      <c r="B133" s="6"/>
      <c r="C133" s="6"/>
      <c r="D133" s="6"/>
      <c r="E133" s="6"/>
      <c r="F133" s="6"/>
      <c r="G133" s="6"/>
      <c r="H133" s="6"/>
      <c r="I133" s="6"/>
      <c r="J133" s="7"/>
    </row>
    <row r="134" spans="1:10" s="10" customFormat="1" x14ac:dyDescent="0.3">
      <c r="A134" s="11"/>
      <c r="B134" s="8"/>
      <c r="C134" s="8"/>
      <c r="D134" s="8"/>
      <c r="E134" s="8"/>
      <c r="F134" s="8"/>
      <c r="G134" s="8"/>
      <c r="H134" s="8"/>
      <c r="I134" s="8"/>
      <c r="J134" s="9"/>
    </row>
    <row r="135" spans="1:10" x14ac:dyDescent="0.3">
      <c r="A135" s="3"/>
      <c r="J135" s="4"/>
    </row>
    <row r="136" spans="1:10" x14ac:dyDescent="0.3">
      <c r="A136" s="3"/>
      <c r="J136" s="4"/>
    </row>
    <row r="137" spans="1:10" x14ac:dyDescent="0.3">
      <c r="A137" s="3"/>
      <c r="J137" s="4"/>
    </row>
    <row r="138" spans="1:10" x14ac:dyDescent="0.3">
      <c r="A138" s="5"/>
      <c r="B138" s="6"/>
      <c r="C138" s="6"/>
      <c r="D138" s="6"/>
      <c r="E138" s="6"/>
      <c r="F138" s="6"/>
      <c r="G138" s="6"/>
      <c r="H138" s="6"/>
      <c r="I138" s="6"/>
      <c r="J138" s="7"/>
    </row>
    <row r="139" spans="1:10" s="10" customFormat="1" x14ac:dyDescent="0.3">
      <c r="A139" s="11"/>
      <c r="B139" s="8"/>
      <c r="C139" s="8"/>
      <c r="D139" s="8"/>
      <c r="E139" s="8"/>
      <c r="F139" s="8"/>
      <c r="G139" s="8"/>
      <c r="H139" s="8"/>
      <c r="I139" s="8"/>
      <c r="J139" s="9"/>
    </row>
    <row r="140" spans="1:10" x14ac:dyDescent="0.3">
      <c r="A140" s="3"/>
      <c r="J140" s="4"/>
    </row>
    <row r="141" spans="1:10" x14ac:dyDescent="0.3">
      <c r="A141" s="3"/>
      <c r="J141" s="4"/>
    </row>
    <row r="142" spans="1:10" x14ac:dyDescent="0.3">
      <c r="A142" s="3"/>
      <c r="J142" s="4"/>
    </row>
    <row r="143" spans="1:10" x14ac:dyDescent="0.3">
      <c r="A143" s="5"/>
      <c r="B143" s="6"/>
      <c r="C143" s="6"/>
      <c r="D143" s="6"/>
      <c r="E143" s="6"/>
      <c r="F143" s="6"/>
      <c r="G143" s="6"/>
      <c r="H143" s="6"/>
      <c r="I143" s="6"/>
      <c r="J143" s="7"/>
    </row>
    <row r="144" spans="1:10" s="10" customFormat="1" x14ac:dyDescent="0.3">
      <c r="A144" s="11"/>
      <c r="B144" s="8"/>
      <c r="C144" s="8"/>
      <c r="D144" s="8"/>
      <c r="E144" s="8"/>
      <c r="F144" s="8"/>
      <c r="G144" s="8"/>
      <c r="H144" s="8"/>
      <c r="I144" s="8"/>
      <c r="J144" s="9"/>
    </row>
    <row r="145" spans="1:10" x14ac:dyDescent="0.3">
      <c r="A145" s="3"/>
      <c r="J145" s="4"/>
    </row>
    <row r="146" spans="1:10" x14ac:dyDescent="0.3">
      <c r="A146" s="3"/>
      <c r="J146" s="4"/>
    </row>
    <row r="147" spans="1:10" x14ac:dyDescent="0.3">
      <c r="A147" s="3"/>
      <c r="J147" s="4"/>
    </row>
    <row r="148" spans="1:10" x14ac:dyDescent="0.3">
      <c r="A148" s="5"/>
      <c r="B148" s="6"/>
      <c r="C148" s="6"/>
      <c r="D148" s="6"/>
      <c r="E148" s="6"/>
      <c r="F148" s="6"/>
      <c r="G148" s="6"/>
      <c r="H148" s="6"/>
      <c r="I148" s="6"/>
      <c r="J148" s="7"/>
    </row>
    <row r="149" spans="1:10" s="10" customFormat="1" x14ac:dyDescent="0.3">
      <c r="A149" s="11"/>
      <c r="B149" s="8"/>
      <c r="C149" s="8"/>
      <c r="D149" s="8"/>
      <c r="E149" s="8"/>
      <c r="F149" s="8"/>
      <c r="G149" s="8"/>
      <c r="H149" s="8"/>
      <c r="I149" s="8"/>
      <c r="J149" s="9"/>
    </row>
    <row r="150" spans="1:10" x14ac:dyDescent="0.3">
      <c r="A150" s="3"/>
      <c r="J150" s="4"/>
    </row>
    <row r="151" spans="1:10" x14ac:dyDescent="0.3">
      <c r="A151" s="3"/>
      <c r="J151" s="4"/>
    </row>
    <row r="152" spans="1:10" x14ac:dyDescent="0.3">
      <c r="A152" s="3"/>
      <c r="J152" s="4"/>
    </row>
    <row r="153" spans="1:10" x14ac:dyDescent="0.3">
      <c r="A153" s="5"/>
      <c r="B153" s="6"/>
      <c r="C153" s="6"/>
      <c r="D153" s="6"/>
      <c r="E153" s="6"/>
      <c r="F153" s="6"/>
      <c r="G153" s="6"/>
      <c r="H153" s="6"/>
      <c r="I153" s="6"/>
      <c r="J153" s="7"/>
    </row>
    <row r="154" spans="1:10" s="10" customFormat="1" x14ac:dyDescent="0.3">
      <c r="A154" s="11"/>
      <c r="B154" s="8"/>
      <c r="C154" s="8"/>
      <c r="D154" s="8"/>
      <c r="E154" s="8"/>
      <c r="F154" s="8"/>
      <c r="G154" s="8"/>
      <c r="H154" s="8"/>
      <c r="I154" s="8"/>
      <c r="J154" s="9"/>
    </row>
    <row r="155" spans="1:10" x14ac:dyDescent="0.3">
      <c r="A155" s="3"/>
      <c r="J155" s="4"/>
    </row>
    <row r="156" spans="1:10" x14ac:dyDescent="0.3">
      <c r="A156" s="3"/>
      <c r="J156" s="4"/>
    </row>
    <row r="157" spans="1:10" x14ac:dyDescent="0.3">
      <c r="A157" s="3"/>
      <c r="J157" s="4"/>
    </row>
    <row r="158" spans="1:10" x14ac:dyDescent="0.3">
      <c r="A158" s="5"/>
      <c r="B158" s="6"/>
      <c r="C158" s="6"/>
      <c r="D158" s="6"/>
      <c r="E158" s="6"/>
      <c r="F158" s="6"/>
      <c r="G158" s="6"/>
      <c r="H158" s="6"/>
      <c r="I158" s="6"/>
      <c r="J158" s="7"/>
    </row>
    <row r="159" spans="1:10" s="10" customFormat="1" x14ac:dyDescent="0.3">
      <c r="A159" s="11"/>
      <c r="B159" s="8"/>
      <c r="C159" s="8"/>
      <c r="D159" s="8"/>
      <c r="E159" s="8"/>
      <c r="F159" s="8"/>
      <c r="G159" s="8"/>
      <c r="H159" s="8"/>
      <c r="I159" s="8"/>
      <c r="J159" s="9"/>
    </row>
    <row r="160" spans="1:10" x14ac:dyDescent="0.3">
      <c r="A160" s="3"/>
      <c r="J160" s="4"/>
    </row>
    <row r="161" spans="1:10" x14ac:dyDescent="0.3">
      <c r="A161" s="3"/>
      <c r="J161" s="4"/>
    </row>
    <row r="162" spans="1:10" x14ac:dyDescent="0.3">
      <c r="A162" s="3"/>
      <c r="J162" s="4"/>
    </row>
    <row r="163" spans="1:10" x14ac:dyDescent="0.3">
      <c r="A163" s="5"/>
      <c r="B163" s="6"/>
      <c r="C163" s="6"/>
      <c r="D163" s="6"/>
      <c r="E163" s="6"/>
      <c r="F163" s="6"/>
      <c r="G163" s="6"/>
      <c r="H163" s="6"/>
      <c r="I163" s="6"/>
      <c r="J163" s="7"/>
    </row>
    <row r="164" spans="1:10" s="10" customFormat="1" x14ac:dyDescent="0.3">
      <c r="A164" s="11"/>
      <c r="B164" s="8"/>
      <c r="C164" s="8"/>
      <c r="D164" s="8"/>
      <c r="E164" s="8"/>
      <c r="F164" s="8"/>
      <c r="G164" s="8"/>
      <c r="H164" s="8"/>
      <c r="I164" s="8"/>
      <c r="J164" s="9"/>
    </row>
    <row r="165" spans="1:10" x14ac:dyDescent="0.3">
      <c r="A165" s="3"/>
      <c r="J165" s="4"/>
    </row>
    <row r="166" spans="1:10" x14ac:dyDescent="0.3">
      <c r="A166" s="3"/>
      <c r="J166" s="4"/>
    </row>
    <row r="167" spans="1:10" x14ac:dyDescent="0.3">
      <c r="A167" s="3"/>
      <c r="J167" s="4"/>
    </row>
    <row r="168" spans="1:10" x14ac:dyDescent="0.3">
      <c r="A168" s="5"/>
      <c r="B168" s="6"/>
      <c r="C168" s="6"/>
      <c r="D168" s="6"/>
      <c r="E168" s="6"/>
      <c r="F168" s="6"/>
      <c r="G168" s="6"/>
      <c r="H168" s="6"/>
      <c r="I168" s="6"/>
      <c r="J168" s="7"/>
    </row>
    <row r="169" spans="1:10" s="10" customFormat="1" x14ac:dyDescent="0.3">
      <c r="A169" s="11"/>
      <c r="B169" s="8"/>
      <c r="C169" s="8"/>
      <c r="D169" s="8"/>
      <c r="E169" s="8"/>
      <c r="F169" s="8"/>
      <c r="G169" s="8"/>
      <c r="H169" s="8"/>
      <c r="I169" s="8"/>
      <c r="J169" s="9"/>
    </row>
    <row r="170" spans="1:10" x14ac:dyDescent="0.3">
      <c r="A170" s="3"/>
      <c r="J170" s="4"/>
    </row>
    <row r="171" spans="1:10" x14ac:dyDescent="0.3">
      <c r="A171" s="3"/>
      <c r="J171" s="4"/>
    </row>
    <row r="172" spans="1:10" x14ac:dyDescent="0.3">
      <c r="A172" s="3"/>
      <c r="J172" s="4"/>
    </row>
    <row r="173" spans="1:10" x14ac:dyDescent="0.3">
      <c r="A173" s="5"/>
      <c r="B173" s="6"/>
      <c r="C173" s="6"/>
      <c r="D173" s="6"/>
      <c r="E173" s="6"/>
      <c r="F173" s="6"/>
      <c r="G173" s="6"/>
      <c r="H173" s="6"/>
      <c r="I173" s="6"/>
      <c r="J173" s="7"/>
    </row>
  </sheetData>
  <sheetProtection algorithmName="SHA-512" hashValue="A/dvtEs6YSZ/scXdJwvolrfyRg2hl3qEmo34ecCP8Kq0MdTEDGp3vY7/MmiNtamGBH/a1LQotH3FrOzsKF+/GQ==" saltValue="x71ONntjGzIdMhnWeA3LfQ==" spinCount="100000" sheet="1" objects="1" scenarios="1"/>
  <mergeCells count="1">
    <mergeCell ref="A1:J1"/>
  </mergeCells>
  <pageMargins left="0.25" right="0.25" top="0.75" bottom="0.75" header="0.3" footer="0.3"/>
  <pageSetup scale="91" orientation="landscape" horizontalDpi="1200" verticalDpi="1200" r:id="rId1"/>
  <headerFooter>
    <oddFooter>Page &amp;P of &amp;N</oddFooter>
  </headerFooter>
  <rowBreaks count="1" manualBreakCount="1"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8677-0071-4D26-B82D-9B473EA33AF3}">
  <sheetPr>
    <tabColor rgb="FFFF7C80"/>
  </sheetPr>
  <dimension ref="A1:C131"/>
  <sheetViews>
    <sheetView topLeftCell="A3" workbookViewId="0">
      <selection activeCell="B15" sqref="B15"/>
    </sheetView>
  </sheetViews>
  <sheetFormatPr defaultRowHeight="14.4" x14ac:dyDescent="0.3"/>
  <cols>
    <col min="1" max="1" width="18.33203125" style="30" bestFit="1" customWidth="1"/>
    <col min="2" max="2" width="26.33203125" style="30" bestFit="1" customWidth="1"/>
    <col min="3" max="3" width="11" style="30" bestFit="1" customWidth="1"/>
    <col min="4" max="16384" width="8.88671875" style="30"/>
  </cols>
  <sheetData>
    <row r="1" spans="1:3" ht="19.8" x14ac:dyDescent="0.3">
      <c r="A1" s="123" t="str">
        <f>_xlfn.CONCAT("Manifest for ",Flight_inventory!A2)</f>
        <v xml:space="preserve">Manifest for </v>
      </c>
      <c r="B1" s="123"/>
      <c r="C1" s="123"/>
    </row>
    <row r="3" spans="1:3" s="54" customFormat="1" ht="18.600000000000001" thickBot="1" x14ac:dyDescent="0.35">
      <c r="A3" s="53" t="e" cm="1" vm="1">
        <f t="array" ref="A3">_xlfn._xlws.PY(1,0,Flight_inventory!A1:Q51,List_gears!A1:C41,List_crew_leaders!A1:B31,List_crew_members!A1:B31)</f>
        <v>#VALUE!</v>
      </c>
    </row>
    <row r="4" spans="1:3" s="58" customFormat="1" x14ac:dyDescent="0.3">
      <c r="A4" s="55"/>
      <c r="B4" s="56"/>
      <c r="C4" s="57"/>
    </row>
    <row r="5" spans="1:3" x14ac:dyDescent="0.3">
      <c r="A5" s="59"/>
      <c r="B5" s="60"/>
      <c r="C5" s="61"/>
    </row>
    <row r="6" spans="1:3" x14ac:dyDescent="0.3">
      <c r="A6" s="62"/>
      <c r="C6" s="63"/>
    </row>
    <row r="7" spans="1:3" x14ac:dyDescent="0.3">
      <c r="A7" s="62"/>
      <c r="C7" s="63"/>
    </row>
    <row r="8" spans="1:3" x14ac:dyDescent="0.3">
      <c r="A8" s="62"/>
      <c r="C8" s="63"/>
    </row>
    <row r="9" spans="1:3" x14ac:dyDescent="0.3">
      <c r="A9" s="62"/>
      <c r="C9" s="63"/>
    </row>
    <row r="10" spans="1:3" x14ac:dyDescent="0.3">
      <c r="A10" s="62"/>
      <c r="C10" s="63"/>
    </row>
    <row r="11" spans="1:3" x14ac:dyDescent="0.3">
      <c r="A11" s="62"/>
      <c r="C11" s="63"/>
    </row>
    <row r="12" spans="1:3" x14ac:dyDescent="0.3">
      <c r="A12" s="64"/>
      <c r="B12" s="65"/>
      <c r="C12" s="66"/>
    </row>
    <row r="13" spans="1:3" s="58" customFormat="1" ht="15" thickBot="1" x14ac:dyDescent="0.35">
      <c r="A13" s="67"/>
      <c r="B13" s="68"/>
      <c r="C13" s="69"/>
    </row>
    <row r="14" spans="1:3" s="70" customFormat="1" x14ac:dyDescent="0.3"/>
    <row r="16" spans="1:3" s="54" customFormat="1" ht="18.600000000000001" thickBot="1" x14ac:dyDescent="0.35"/>
    <row r="17" spans="1:3" s="58" customFormat="1" x14ac:dyDescent="0.3">
      <c r="A17" s="55"/>
      <c r="B17" s="56"/>
      <c r="C17" s="57"/>
    </row>
    <row r="18" spans="1:3" x14ac:dyDescent="0.3">
      <c r="A18" s="59"/>
      <c r="B18" s="60"/>
      <c r="C18" s="61"/>
    </row>
    <row r="19" spans="1:3" x14ac:dyDescent="0.3">
      <c r="A19" s="62"/>
      <c r="C19" s="63"/>
    </row>
    <row r="20" spans="1:3" x14ac:dyDescent="0.3">
      <c r="A20" s="62"/>
      <c r="C20" s="63"/>
    </row>
    <row r="21" spans="1:3" x14ac:dyDescent="0.3">
      <c r="A21" s="62"/>
      <c r="C21" s="63"/>
    </row>
    <row r="22" spans="1:3" x14ac:dyDescent="0.3">
      <c r="A22" s="62"/>
      <c r="C22" s="63"/>
    </row>
    <row r="23" spans="1:3" x14ac:dyDescent="0.3">
      <c r="A23" s="62"/>
      <c r="C23" s="63"/>
    </row>
    <row r="24" spans="1:3" x14ac:dyDescent="0.3">
      <c r="A24" s="62"/>
      <c r="C24" s="63"/>
    </row>
    <row r="25" spans="1:3" x14ac:dyDescent="0.3">
      <c r="A25" s="64"/>
      <c r="B25" s="65"/>
      <c r="C25" s="66"/>
    </row>
    <row r="26" spans="1:3" s="58" customFormat="1" ht="15" thickBot="1" x14ac:dyDescent="0.35">
      <c r="A26" s="67"/>
      <c r="B26" s="68"/>
      <c r="C26" s="69"/>
    </row>
    <row r="27" spans="1:3" s="70" customFormat="1" x14ac:dyDescent="0.3"/>
    <row r="29" spans="1:3" s="54" customFormat="1" ht="18.600000000000001" thickBot="1" x14ac:dyDescent="0.35"/>
    <row r="30" spans="1:3" s="58" customFormat="1" x14ac:dyDescent="0.3">
      <c r="A30" s="55"/>
      <c r="B30" s="56"/>
      <c r="C30" s="57"/>
    </row>
    <row r="31" spans="1:3" x14ac:dyDescent="0.3">
      <c r="A31" s="59"/>
      <c r="B31" s="60"/>
      <c r="C31" s="61"/>
    </row>
    <row r="32" spans="1:3" x14ac:dyDescent="0.3">
      <c r="A32" s="62"/>
      <c r="C32" s="63"/>
    </row>
    <row r="33" spans="1:3" x14ac:dyDescent="0.3">
      <c r="A33" s="62"/>
      <c r="C33" s="63"/>
    </row>
    <row r="34" spans="1:3" x14ac:dyDescent="0.3">
      <c r="A34" s="62"/>
      <c r="C34" s="63"/>
    </row>
    <row r="35" spans="1:3" x14ac:dyDescent="0.3">
      <c r="A35" s="62"/>
      <c r="C35" s="63"/>
    </row>
    <row r="36" spans="1:3" x14ac:dyDescent="0.3">
      <c r="A36" s="62"/>
      <c r="C36" s="63"/>
    </row>
    <row r="37" spans="1:3" x14ac:dyDescent="0.3">
      <c r="A37" s="62"/>
      <c r="C37" s="63"/>
    </row>
    <row r="38" spans="1:3" x14ac:dyDescent="0.3">
      <c r="A38" s="64"/>
      <c r="B38" s="65"/>
      <c r="C38" s="66"/>
    </row>
    <row r="39" spans="1:3" s="58" customFormat="1" ht="15" thickBot="1" x14ac:dyDescent="0.35">
      <c r="A39" s="67"/>
      <c r="B39" s="68"/>
      <c r="C39" s="69"/>
    </row>
    <row r="40" spans="1:3" s="70" customFormat="1" x14ac:dyDescent="0.3"/>
    <row r="42" spans="1:3" s="54" customFormat="1" ht="18.600000000000001" thickBot="1" x14ac:dyDescent="0.35"/>
    <row r="43" spans="1:3" s="58" customFormat="1" x14ac:dyDescent="0.3">
      <c r="A43" s="55"/>
      <c r="B43" s="56"/>
      <c r="C43" s="57"/>
    </row>
    <row r="44" spans="1:3" x14ac:dyDescent="0.3">
      <c r="A44" s="59"/>
      <c r="B44" s="60"/>
      <c r="C44" s="61"/>
    </row>
    <row r="45" spans="1:3" x14ac:dyDescent="0.3">
      <c r="A45" s="62"/>
      <c r="C45" s="63"/>
    </row>
    <row r="46" spans="1:3" x14ac:dyDescent="0.3">
      <c r="A46" s="62"/>
      <c r="C46" s="63"/>
    </row>
    <row r="47" spans="1:3" x14ac:dyDescent="0.3">
      <c r="A47" s="62"/>
      <c r="C47" s="63"/>
    </row>
    <row r="48" spans="1:3" x14ac:dyDescent="0.3">
      <c r="A48" s="62"/>
      <c r="C48" s="63"/>
    </row>
    <row r="49" spans="1:3" x14ac:dyDescent="0.3">
      <c r="A49" s="62"/>
      <c r="C49" s="63"/>
    </row>
    <row r="50" spans="1:3" x14ac:dyDescent="0.3">
      <c r="A50" s="62"/>
      <c r="C50" s="63"/>
    </row>
    <row r="51" spans="1:3" x14ac:dyDescent="0.3">
      <c r="A51" s="64"/>
      <c r="B51" s="65"/>
      <c r="C51" s="66"/>
    </row>
    <row r="52" spans="1:3" s="58" customFormat="1" ht="15" thickBot="1" x14ac:dyDescent="0.35">
      <c r="A52" s="67"/>
      <c r="B52" s="68"/>
      <c r="C52" s="69"/>
    </row>
    <row r="53" spans="1:3" s="70" customFormat="1" x14ac:dyDescent="0.3"/>
    <row r="55" spans="1:3" s="54" customFormat="1" ht="18.600000000000001" thickBot="1" x14ac:dyDescent="0.35"/>
    <row r="56" spans="1:3" s="58" customFormat="1" x14ac:dyDescent="0.3">
      <c r="A56" s="55"/>
      <c r="B56" s="56"/>
      <c r="C56" s="57"/>
    </row>
    <row r="57" spans="1:3" x14ac:dyDescent="0.3">
      <c r="A57" s="59"/>
      <c r="B57" s="60"/>
      <c r="C57" s="61"/>
    </row>
    <row r="58" spans="1:3" x14ac:dyDescent="0.3">
      <c r="A58" s="62"/>
      <c r="C58" s="63"/>
    </row>
    <row r="59" spans="1:3" x14ac:dyDescent="0.3">
      <c r="A59" s="62"/>
      <c r="C59" s="63"/>
    </row>
    <row r="60" spans="1:3" x14ac:dyDescent="0.3">
      <c r="A60" s="62"/>
      <c r="C60" s="63"/>
    </row>
    <row r="61" spans="1:3" x14ac:dyDescent="0.3">
      <c r="A61" s="62"/>
      <c r="C61" s="63"/>
    </row>
    <row r="62" spans="1:3" x14ac:dyDescent="0.3">
      <c r="A62" s="62"/>
      <c r="C62" s="63"/>
    </row>
    <row r="63" spans="1:3" x14ac:dyDescent="0.3">
      <c r="A63" s="62"/>
      <c r="C63" s="63"/>
    </row>
    <row r="64" spans="1:3" x14ac:dyDescent="0.3">
      <c r="A64" s="64"/>
      <c r="B64" s="65"/>
      <c r="C64" s="66"/>
    </row>
    <row r="65" spans="1:3" s="58" customFormat="1" ht="15" thickBot="1" x14ac:dyDescent="0.35">
      <c r="A65" s="67"/>
      <c r="B65" s="68"/>
      <c r="C65" s="69"/>
    </row>
    <row r="66" spans="1:3" s="70" customFormat="1" x14ac:dyDescent="0.3"/>
    <row r="68" spans="1:3" ht="18.600000000000001" thickBot="1" x14ac:dyDescent="0.35">
      <c r="A68" s="54"/>
      <c r="B68" s="54"/>
      <c r="C68" s="54"/>
    </row>
    <row r="69" spans="1:3" x14ac:dyDescent="0.3">
      <c r="A69" s="55"/>
      <c r="B69" s="56"/>
      <c r="C69" s="57"/>
    </row>
    <row r="70" spans="1:3" x14ac:dyDescent="0.3">
      <c r="A70" s="59"/>
      <c r="B70" s="60"/>
      <c r="C70" s="61"/>
    </row>
    <row r="71" spans="1:3" x14ac:dyDescent="0.3">
      <c r="A71" s="62"/>
      <c r="C71" s="63"/>
    </row>
    <row r="72" spans="1:3" x14ac:dyDescent="0.3">
      <c r="A72" s="62"/>
      <c r="C72" s="63"/>
    </row>
    <row r="73" spans="1:3" x14ac:dyDescent="0.3">
      <c r="A73" s="62"/>
      <c r="C73" s="63"/>
    </row>
    <row r="74" spans="1:3" x14ac:dyDescent="0.3">
      <c r="A74" s="62"/>
      <c r="C74" s="63"/>
    </row>
    <row r="75" spans="1:3" x14ac:dyDescent="0.3">
      <c r="A75" s="62"/>
      <c r="C75" s="63"/>
    </row>
    <row r="76" spans="1:3" x14ac:dyDescent="0.3">
      <c r="A76" s="62"/>
      <c r="C76" s="63"/>
    </row>
    <row r="77" spans="1:3" x14ac:dyDescent="0.3">
      <c r="A77" s="64"/>
      <c r="B77" s="65"/>
      <c r="C77" s="66"/>
    </row>
    <row r="78" spans="1:3" ht="15" thickBot="1" x14ac:dyDescent="0.35">
      <c r="A78" s="67"/>
      <c r="B78" s="68"/>
      <c r="C78" s="69"/>
    </row>
    <row r="79" spans="1:3" x14ac:dyDescent="0.3">
      <c r="A79" s="70"/>
      <c r="B79" s="70"/>
      <c r="C79" s="70"/>
    </row>
    <row r="81" spans="1:3" ht="18.600000000000001" thickBot="1" x14ac:dyDescent="0.35">
      <c r="A81" s="54"/>
      <c r="B81" s="54"/>
      <c r="C81" s="54"/>
    </row>
    <row r="82" spans="1:3" x14ac:dyDescent="0.3">
      <c r="A82" s="55"/>
      <c r="B82" s="56"/>
      <c r="C82" s="57"/>
    </row>
    <row r="83" spans="1:3" x14ac:dyDescent="0.3">
      <c r="A83" s="59"/>
      <c r="B83" s="60"/>
      <c r="C83" s="61"/>
    </row>
    <row r="84" spans="1:3" x14ac:dyDescent="0.3">
      <c r="A84" s="62"/>
      <c r="C84" s="63"/>
    </row>
    <row r="85" spans="1:3" x14ac:dyDescent="0.3">
      <c r="A85" s="62"/>
      <c r="C85" s="63"/>
    </row>
    <row r="86" spans="1:3" x14ac:dyDescent="0.3">
      <c r="A86" s="62"/>
      <c r="C86" s="63"/>
    </row>
    <row r="87" spans="1:3" x14ac:dyDescent="0.3">
      <c r="A87" s="62"/>
      <c r="C87" s="63"/>
    </row>
    <row r="88" spans="1:3" x14ac:dyDescent="0.3">
      <c r="A88" s="62"/>
      <c r="C88" s="63"/>
    </row>
    <row r="89" spans="1:3" x14ac:dyDescent="0.3">
      <c r="A89" s="62"/>
      <c r="C89" s="63"/>
    </row>
    <row r="90" spans="1:3" x14ac:dyDescent="0.3">
      <c r="A90" s="64"/>
      <c r="B90" s="65"/>
      <c r="C90" s="66"/>
    </row>
    <row r="91" spans="1:3" ht="15" thickBot="1" x14ac:dyDescent="0.35">
      <c r="A91" s="67"/>
      <c r="B91" s="68"/>
      <c r="C91" s="69"/>
    </row>
    <row r="92" spans="1:3" x14ac:dyDescent="0.3">
      <c r="A92" s="70"/>
      <c r="B92" s="70"/>
      <c r="C92" s="70"/>
    </row>
    <row r="94" spans="1:3" ht="18.600000000000001" thickBot="1" x14ac:dyDescent="0.35">
      <c r="A94" s="54"/>
      <c r="B94" s="54"/>
      <c r="C94" s="54"/>
    </row>
    <row r="95" spans="1:3" x14ac:dyDescent="0.3">
      <c r="A95" s="55"/>
      <c r="B95" s="56"/>
      <c r="C95" s="57"/>
    </row>
    <row r="96" spans="1:3" x14ac:dyDescent="0.3">
      <c r="A96" s="59"/>
      <c r="B96" s="60"/>
      <c r="C96" s="61"/>
    </row>
    <row r="97" spans="1:3" x14ac:dyDescent="0.3">
      <c r="A97" s="62"/>
      <c r="C97" s="63"/>
    </row>
    <row r="98" spans="1:3" x14ac:dyDescent="0.3">
      <c r="A98" s="62"/>
      <c r="C98" s="63"/>
    </row>
    <row r="99" spans="1:3" x14ac:dyDescent="0.3">
      <c r="A99" s="62"/>
      <c r="C99" s="63"/>
    </row>
    <row r="100" spans="1:3" x14ac:dyDescent="0.3">
      <c r="A100" s="62"/>
      <c r="C100" s="63"/>
    </row>
    <row r="101" spans="1:3" x14ac:dyDescent="0.3">
      <c r="A101" s="62"/>
      <c r="C101" s="63"/>
    </row>
    <row r="102" spans="1:3" x14ac:dyDescent="0.3">
      <c r="A102" s="62"/>
      <c r="C102" s="63"/>
    </row>
    <row r="103" spans="1:3" x14ac:dyDescent="0.3">
      <c r="A103" s="64"/>
      <c r="B103" s="65"/>
      <c r="C103" s="66"/>
    </row>
    <row r="104" spans="1:3" ht="15" thickBot="1" x14ac:dyDescent="0.35">
      <c r="A104" s="67"/>
      <c r="B104" s="68"/>
      <c r="C104" s="69"/>
    </row>
    <row r="105" spans="1:3" x14ac:dyDescent="0.3">
      <c r="A105" s="70"/>
      <c r="B105" s="70"/>
      <c r="C105" s="70"/>
    </row>
    <row r="107" spans="1:3" ht="18.600000000000001" thickBot="1" x14ac:dyDescent="0.35">
      <c r="A107" s="54"/>
      <c r="B107" s="54"/>
      <c r="C107" s="54"/>
    </row>
    <row r="108" spans="1:3" x14ac:dyDescent="0.3">
      <c r="A108" s="55"/>
      <c r="B108" s="56"/>
      <c r="C108" s="57"/>
    </row>
    <row r="109" spans="1:3" x14ac:dyDescent="0.3">
      <c r="A109" s="59"/>
      <c r="B109" s="60"/>
      <c r="C109" s="61"/>
    </row>
    <row r="110" spans="1:3" x14ac:dyDescent="0.3">
      <c r="A110" s="62"/>
      <c r="C110" s="63"/>
    </row>
    <row r="111" spans="1:3" x14ac:dyDescent="0.3">
      <c r="A111" s="62"/>
      <c r="C111" s="63"/>
    </row>
    <row r="112" spans="1:3" x14ac:dyDescent="0.3">
      <c r="A112" s="62"/>
      <c r="C112" s="63"/>
    </row>
    <row r="113" spans="1:3" x14ac:dyDescent="0.3">
      <c r="A113" s="62"/>
      <c r="C113" s="63"/>
    </row>
    <row r="114" spans="1:3" x14ac:dyDescent="0.3">
      <c r="A114" s="62"/>
      <c r="C114" s="63"/>
    </row>
    <row r="115" spans="1:3" x14ac:dyDescent="0.3">
      <c r="A115" s="62"/>
      <c r="C115" s="63"/>
    </row>
    <row r="116" spans="1:3" x14ac:dyDescent="0.3">
      <c r="A116" s="64"/>
      <c r="B116" s="65"/>
      <c r="C116" s="66"/>
    </row>
    <row r="117" spans="1:3" ht="15" thickBot="1" x14ac:dyDescent="0.35">
      <c r="A117" s="67"/>
      <c r="B117" s="68"/>
      <c r="C117" s="69"/>
    </row>
    <row r="118" spans="1:3" x14ac:dyDescent="0.3">
      <c r="A118" s="70"/>
      <c r="B118" s="70"/>
      <c r="C118" s="70"/>
    </row>
    <row r="120" spans="1:3" ht="18.600000000000001" thickBot="1" x14ac:dyDescent="0.35">
      <c r="A120" s="54"/>
      <c r="B120" s="54"/>
      <c r="C120" s="54"/>
    </row>
    <row r="121" spans="1:3" x14ac:dyDescent="0.3">
      <c r="A121" s="55"/>
      <c r="B121" s="56"/>
      <c r="C121" s="57"/>
    </row>
    <row r="122" spans="1:3" x14ac:dyDescent="0.3">
      <c r="A122" s="59"/>
      <c r="B122" s="60"/>
      <c r="C122" s="61"/>
    </row>
    <row r="123" spans="1:3" x14ac:dyDescent="0.3">
      <c r="A123" s="62"/>
      <c r="C123" s="63"/>
    </row>
    <row r="124" spans="1:3" x14ac:dyDescent="0.3">
      <c r="A124" s="62"/>
      <c r="C124" s="63"/>
    </row>
    <row r="125" spans="1:3" x14ac:dyDescent="0.3">
      <c r="A125" s="62"/>
      <c r="C125" s="63"/>
    </row>
    <row r="126" spans="1:3" x14ac:dyDescent="0.3">
      <c r="A126" s="62"/>
      <c r="C126" s="63"/>
    </row>
    <row r="127" spans="1:3" x14ac:dyDescent="0.3">
      <c r="A127" s="62"/>
      <c r="C127" s="63"/>
    </row>
    <row r="128" spans="1:3" x14ac:dyDescent="0.3">
      <c r="A128" s="62"/>
      <c r="C128" s="63"/>
    </row>
    <row r="129" spans="1:3" x14ac:dyDescent="0.3">
      <c r="A129" s="64"/>
      <c r="B129" s="65"/>
      <c r="C129" s="66"/>
    </row>
    <row r="130" spans="1:3" ht="15" thickBot="1" x14ac:dyDescent="0.35">
      <c r="A130" s="67"/>
      <c r="B130" s="68"/>
      <c r="C130" s="69"/>
    </row>
    <row r="131" spans="1:3" x14ac:dyDescent="0.3">
      <c r="A131" s="70"/>
      <c r="B131" s="70"/>
      <c r="C131" s="70"/>
    </row>
  </sheetData>
  <sheetProtection algorithmName="SHA-512" hashValue="L9MBlJ+UYr93LLfVz+B4eBqfZS+cCqjPgD9i10o7wXNXvByOj4abaJRF7eN7yAWr+nRK/muetfzqG3fjAx3OOQ==" saltValue="PRRpo1R//aVNbDEDmAknsg==" spinCount="100000" sheet="1" objects="1" scenarios="1"/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8962-C62C-43F0-A672-05A50E955C43}">
  <sheetPr>
    <tabColor rgb="FF9999FF"/>
  </sheetPr>
  <dimension ref="A1:N301"/>
  <sheetViews>
    <sheetView workbookViewId="0">
      <selection activeCell="G17" sqref="G17"/>
    </sheetView>
  </sheetViews>
  <sheetFormatPr defaultRowHeight="14.4" x14ac:dyDescent="0.3"/>
  <cols>
    <col min="1" max="2" width="11.33203125" customWidth="1"/>
    <col min="3" max="3" width="6.21875" bestFit="1" customWidth="1"/>
    <col min="4" max="4" width="26.6640625" bestFit="1" customWidth="1"/>
    <col min="5" max="5" width="28.21875" bestFit="1" customWidth="1"/>
    <col min="6" max="6" width="34.5546875" bestFit="1" customWidth="1"/>
    <col min="7" max="7" width="36.109375" bestFit="1" customWidth="1"/>
    <col min="8" max="8" width="9.109375" bestFit="1" customWidth="1"/>
    <col min="9" max="9" width="5.6640625" bestFit="1" customWidth="1"/>
    <col min="10" max="10" width="6.6640625" bestFit="1" customWidth="1"/>
    <col min="11" max="11" width="10.21875" bestFit="1" customWidth="1"/>
    <col min="12" max="12" width="20.77734375" bestFit="1" customWidth="1"/>
    <col min="13" max="13" width="11.21875" bestFit="1" customWidth="1"/>
    <col min="14" max="14" width="14.33203125" bestFit="1" customWidth="1"/>
  </cols>
  <sheetData>
    <row r="1" spans="1:14" x14ac:dyDescent="0.3">
      <c r="A1" s="99" t="s">
        <v>14</v>
      </c>
      <c r="B1" s="99" t="s">
        <v>35</v>
      </c>
      <c r="C1" s="99" t="s">
        <v>16</v>
      </c>
      <c r="D1" s="99" t="s">
        <v>17</v>
      </c>
      <c r="E1" s="99" t="s">
        <v>18</v>
      </c>
      <c r="F1" s="99" t="s">
        <v>19</v>
      </c>
      <c r="G1" s="99" t="s">
        <v>20</v>
      </c>
      <c r="H1" s="99" t="s">
        <v>36</v>
      </c>
      <c r="I1" s="99" t="s">
        <v>21</v>
      </c>
      <c r="J1" s="99" t="s">
        <v>22</v>
      </c>
      <c r="K1" s="99" t="s">
        <v>26</v>
      </c>
      <c r="L1" s="99" t="s">
        <v>27</v>
      </c>
      <c r="M1" s="99" t="s">
        <v>25</v>
      </c>
      <c r="N1" s="99" t="s">
        <v>24</v>
      </c>
    </row>
    <row r="2" spans="1:14" s="72" customFormat="1" x14ac:dyDescent="0.3">
      <c r="A2" s="71" t="s">
        <v>73</v>
      </c>
      <c r="B2" s="71" t="s">
        <v>61</v>
      </c>
      <c r="C2" s="71" t="s">
        <v>62</v>
      </c>
      <c r="D2" s="71">
        <v>64.904619999999994</v>
      </c>
      <c r="E2" s="71">
        <v>-157.4092</v>
      </c>
      <c r="F2" s="71"/>
      <c r="G2" s="71"/>
      <c r="H2" s="71">
        <v>50</v>
      </c>
      <c r="I2" s="71">
        <v>0.2</v>
      </c>
      <c r="J2" s="71">
        <v>2</v>
      </c>
      <c r="K2" s="71" t="s">
        <v>63</v>
      </c>
      <c r="L2" s="71" t="s">
        <v>64</v>
      </c>
      <c r="M2" s="71" t="s">
        <v>65</v>
      </c>
      <c r="N2" s="71"/>
    </row>
    <row r="3" spans="1:14" s="72" customFormat="1" x14ac:dyDescent="0.3">
      <c r="A3" s="71" t="s">
        <v>74</v>
      </c>
      <c r="B3" s="71" t="s">
        <v>66</v>
      </c>
      <c r="C3" s="71" t="s">
        <v>67</v>
      </c>
      <c r="D3" s="71">
        <v>64.744560199999995</v>
      </c>
      <c r="E3" s="71">
        <v>-156.13404850000001</v>
      </c>
      <c r="F3" s="71"/>
      <c r="G3" s="71"/>
      <c r="H3" s="71">
        <v>55</v>
      </c>
      <c r="I3" s="71">
        <v>0.4</v>
      </c>
      <c r="J3" s="71">
        <v>4</v>
      </c>
      <c r="K3" s="71" t="s">
        <v>63</v>
      </c>
      <c r="L3" s="71" t="s">
        <v>64</v>
      </c>
      <c r="M3" s="71" t="s">
        <v>65</v>
      </c>
      <c r="N3" s="71"/>
    </row>
    <row r="4" spans="1:14" s="72" customFormat="1" x14ac:dyDescent="0.3">
      <c r="A4" s="71" t="s">
        <v>75</v>
      </c>
      <c r="B4" s="71" t="s">
        <v>68</v>
      </c>
      <c r="C4" s="71" t="s">
        <v>69</v>
      </c>
      <c r="D4" s="71">
        <v>64.159260000000003</v>
      </c>
      <c r="E4" s="71">
        <v>-157.554</v>
      </c>
      <c r="F4" s="71"/>
      <c r="G4" s="71"/>
      <c r="H4" s="71">
        <v>50</v>
      </c>
      <c r="I4" s="71">
        <v>0.6</v>
      </c>
      <c r="J4" s="71">
        <v>6</v>
      </c>
      <c r="K4" s="71" t="s">
        <v>63</v>
      </c>
      <c r="L4" s="71" t="s">
        <v>64</v>
      </c>
      <c r="M4" s="71" t="s">
        <v>65</v>
      </c>
      <c r="N4" s="71"/>
    </row>
    <row r="5" spans="1:14" s="72" customFormat="1" x14ac:dyDescent="0.3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s="72" customFormat="1" x14ac:dyDescent="0.3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s="72" customForma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s="72" customForma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</row>
    <row r="9" spans="1:14" s="72" customForma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</row>
    <row r="10" spans="1:14" s="72" customFormat="1" x14ac:dyDescent="0.3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</row>
    <row r="11" spans="1:14" s="72" customFormat="1" x14ac:dyDescent="0.3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</row>
    <row r="12" spans="1:14" s="72" customFormat="1" x14ac:dyDescent="0.3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s="72" customFormat="1" x14ac:dyDescent="0.3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</row>
    <row r="14" spans="1:14" s="72" customFormat="1" x14ac:dyDescent="0.3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</row>
    <row r="15" spans="1:14" s="72" customFormat="1" x14ac:dyDescent="0.3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</row>
    <row r="16" spans="1:14" s="72" customFormat="1" x14ac:dyDescent="0.3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</row>
    <row r="17" spans="1:14" s="72" customFormat="1" x14ac:dyDescent="0.3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</row>
    <row r="18" spans="1:14" s="72" customFormat="1" x14ac:dyDescent="0.3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</row>
    <row r="19" spans="1:14" s="72" customFormat="1" x14ac:dyDescent="0.3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</row>
    <row r="20" spans="1:14" s="72" customFormat="1" x14ac:dyDescent="0.3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21" spans="1:14" s="72" customFormat="1" x14ac:dyDescent="0.3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</row>
    <row r="22" spans="1:14" s="72" customFormat="1" x14ac:dyDescent="0.3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</row>
    <row r="23" spans="1:14" s="72" customFormat="1" x14ac:dyDescent="0.3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</row>
    <row r="24" spans="1:14" s="72" customFormat="1" x14ac:dyDescent="0.3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</row>
    <row r="25" spans="1:14" s="72" customFormat="1" x14ac:dyDescent="0.3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</row>
    <row r="26" spans="1:14" s="72" customFormat="1" x14ac:dyDescent="0.3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</row>
    <row r="27" spans="1:14" s="72" customFormat="1" x14ac:dyDescent="0.3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</row>
    <row r="28" spans="1:14" s="72" customFormat="1" x14ac:dyDescent="0.3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</row>
    <row r="29" spans="1:14" s="72" customFormat="1" x14ac:dyDescent="0.3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</row>
    <row r="30" spans="1:14" s="72" customFormat="1" x14ac:dyDescent="0.3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</row>
    <row r="31" spans="1:14" s="72" customFormat="1" x14ac:dyDescent="0.3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</row>
    <row r="32" spans="1:14" s="72" customFormat="1" x14ac:dyDescent="0.3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</row>
    <row r="33" spans="1:14" s="72" customFormat="1" x14ac:dyDescent="0.3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</row>
    <row r="34" spans="1:14" s="72" customFormat="1" x14ac:dyDescent="0.3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</row>
    <row r="35" spans="1:14" s="72" customFormat="1" x14ac:dyDescent="0.3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</row>
    <row r="36" spans="1:14" s="72" customFormat="1" x14ac:dyDescent="0.3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</row>
    <row r="37" spans="1:14" s="72" customFormat="1" x14ac:dyDescent="0.3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</row>
    <row r="38" spans="1:14" s="72" customFormat="1" x14ac:dyDescent="0.3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</row>
    <row r="39" spans="1:14" s="72" customFormat="1" x14ac:dyDescent="0.3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</row>
    <row r="40" spans="1:14" s="72" customFormat="1" x14ac:dyDescent="0.3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</row>
    <row r="41" spans="1:14" s="72" customFormat="1" x14ac:dyDescent="0.3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</row>
    <row r="42" spans="1:14" s="72" customFormat="1" x14ac:dyDescent="0.3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</row>
    <row r="43" spans="1:14" s="72" customFormat="1" x14ac:dyDescent="0.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</row>
    <row r="44" spans="1:14" s="72" customFormat="1" x14ac:dyDescent="0.3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</row>
    <row r="45" spans="1:14" s="72" customFormat="1" x14ac:dyDescent="0.3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</row>
    <row r="46" spans="1:14" s="72" customFormat="1" x14ac:dyDescent="0.3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</row>
    <row r="47" spans="1:14" s="72" customFormat="1" x14ac:dyDescent="0.3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8" spans="1:14" s="72" customFormat="1" x14ac:dyDescent="0.3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</row>
    <row r="49" spans="1:14" s="72" customFormat="1" x14ac:dyDescent="0.3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</row>
    <row r="50" spans="1:14" s="72" customFormat="1" x14ac:dyDescent="0.3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</row>
    <row r="51" spans="1:14" s="72" customFormat="1" x14ac:dyDescent="0.3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</row>
    <row r="52" spans="1:14" s="72" customFormat="1" x14ac:dyDescent="0.3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</row>
    <row r="53" spans="1:14" s="72" customFormat="1" x14ac:dyDescent="0.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</row>
    <row r="54" spans="1:14" s="72" customFormat="1" x14ac:dyDescent="0.3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</row>
    <row r="55" spans="1:14" s="72" customFormat="1" x14ac:dyDescent="0.3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</row>
    <row r="56" spans="1:14" s="72" customFormat="1" x14ac:dyDescent="0.3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</row>
    <row r="57" spans="1:14" s="72" customFormat="1" x14ac:dyDescent="0.3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</row>
    <row r="58" spans="1:14" s="72" customFormat="1" x14ac:dyDescent="0.3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14" s="72" customFormat="1" x14ac:dyDescent="0.3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</row>
    <row r="60" spans="1:14" s="72" customFormat="1" x14ac:dyDescent="0.3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</row>
    <row r="61" spans="1:14" s="72" customFormat="1" x14ac:dyDescent="0.3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</row>
    <row r="62" spans="1:14" s="72" customFormat="1" x14ac:dyDescent="0.3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</row>
    <row r="63" spans="1:14" s="72" customFormat="1" x14ac:dyDescent="0.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</row>
    <row r="64" spans="1:14" s="72" customFormat="1" x14ac:dyDescent="0.3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</row>
    <row r="65" spans="1:14" s="72" customFormat="1" x14ac:dyDescent="0.3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</row>
    <row r="66" spans="1:14" s="72" customFormat="1" x14ac:dyDescent="0.3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</row>
    <row r="67" spans="1:14" s="72" customFormat="1" x14ac:dyDescent="0.3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</row>
    <row r="68" spans="1:14" s="72" customFormat="1" x14ac:dyDescent="0.3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</row>
    <row r="69" spans="1:14" s="72" customFormat="1" x14ac:dyDescent="0.3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 spans="1:14" s="72" customFormat="1" x14ac:dyDescent="0.3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</row>
    <row r="71" spans="1:14" s="72" customFormat="1" x14ac:dyDescent="0.3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</row>
    <row r="72" spans="1:14" s="72" customFormat="1" x14ac:dyDescent="0.3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</row>
    <row r="73" spans="1:14" s="72" customFormat="1" x14ac:dyDescent="0.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</row>
    <row r="74" spans="1:14" s="72" customFormat="1" x14ac:dyDescent="0.3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</row>
    <row r="75" spans="1:14" s="72" customFormat="1" x14ac:dyDescent="0.3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</row>
    <row r="76" spans="1:14" s="72" customFormat="1" x14ac:dyDescent="0.3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</row>
    <row r="77" spans="1:14" s="72" customFormat="1" x14ac:dyDescent="0.3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</row>
    <row r="78" spans="1:14" s="72" customFormat="1" x14ac:dyDescent="0.3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</row>
    <row r="79" spans="1:14" s="72" customFormat="1" x14ac:dyDescent="0.3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</row>
    <row r="80" spans="1:14" s="72" customFormat="1" x14ac:dyDescent="0.3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</row>
    <row r="81" spans="1:14" s="72" customFormat="1" x14ac:dyDescent="0.3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</row>
    <row r="82" spans="1:14" s="72" customFormat="1" x14ac:dyDescent="0.3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</row>
    <row r="83" spans="1:14" s="72" customFormat="1" x14ac:dyDescent="0.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</row>
    <row r="84" spans="1:14" s="72" customFormat="1" x14ac:dyDescent="0.3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</row>
    <row r="85" spans="1:14" s="72" customFormat="1" x14ac:dyDescent="0.3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</row>
    <row r="86" spans="1:14" s="72" customFormat="1" x14ac:dyDescent="0.3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</row>
    <row r="87" spans="1:14" s="72" customFormat="1" x14ac:dyDescent="0.3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</row>
    <row r="88" spans="1:14" s="72" customFormat="1" x14ac:dyDescent="0.3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</row>
    <row r="89" spans="1:14" s="72" customFormat="1" x14ac:dyDescent="0.3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</row>
    <row r="90" spans="1:14" s="72" customFormat="1" x14ac:dyDescent="0.3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</row>
    <row r="91" spans="1:14" s="72" customFormat="1" x14ac:dyDescent="0.3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</row>
    <row r="92" spans="1:14" s="72" customFormat="1" x14ac:dyDescent="0.3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</row>
    <row r="93" spans="1:14" s="72" customFormat="1" x14ac:dyDescent="0.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</row>
    <row r="94" spans="1:14" s="72" customFormat="1" x14ac:dyDescent="0.3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</row>
    <row r="95" spans="1:14" s="72" customFormat="1" x14ac:dyDescent="0.3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</row>
    <row r="96" spans="1:14" s="72" customFormat="1" x14ac:dyDescent="0.3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</row>
    <row r="97" spans="1:14" s="72" customFormat="1" x14ac:dyDescent="0.3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</row>
    <row r="98" spans="1:14" s="72" customFormat="1" x14ac:dyDescent="0.3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</row>
    <row r="99" spans="1:14" s="72" customFormat="1" x14ac:dyDescent="0.3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</row>
    <row r="100" spans="1:14" s="72" customFormat="1" x14ac:dyDescent="0.3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</row>
    <row r="101" spans="1:14" s="72" customFormat="1" x14ac:dyDescent="0.3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</row>
    <row r="102" spans="1:14" s="72" customFormat="1" x14ac:dyDescent="0.3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</row>
    <row r="103" spans="1:14" s="72" customFormat="1" x14ac:dyDescent="0.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</row>
    <row r="104" spans="1:14" s="72" customFormat="1" x14ac:dyDescent="0.3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</row>
    <row r="105" spans="1:14" s="72" customFormat="1" x14ac:dyDescent="0.3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</row>
    <row r="106" spans="1:14" s="72" customFormat="1" x14ac:dyDescent="0.3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</row>
    <row r="107" spans="1:14" s="72" customFormat="1" x14ac:dyDescent="0.3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</row>
    <row r="108" spans="1:14" s="72" customFormat="1" x14ac:dyDescent="0.3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</row>
    <row r="109" spans="1:14" s="72" customFormat="1" x14ac:dyDescent="0.3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</row>
    <row r="110" spans="1:14" s="72" customFormat="1" x14ac:dyDescent="0.3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</row>
    <row r="111" spans="1:14" s="72" customFormat="1" x14ac:dyDescent="0.3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</row>
    <row r="112" spans="1:14" s="72" customFormat="1" x14ac:dyDescent="0.3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</row>
    <row r="113" spans="1:14" s="72" customFormat="1" x14ac:dyDescent="0.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</row>
    <row r="114" spans="1:14" s="72" customFormat="1" x14ac:dyDescent="0.3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</row>
    <row r="115" spans="1:14" s="72" customFormat="1" x14ac:dyDescent="0.3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</row>
    <row r="116" spans="1:14" s="72" customFormat="1" x14ac:dyDescent="0.3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</row>
    <row r="117" spans="1:14" s="72" customFormat="1" x14ac:dyDescent="0.3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</row>
    <row r="118" spans="1:14" s="72" customFormat="1" x14ac:dyDescent="0.3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</row>
    <row r="119" spans="1:14" s="72" customFormat="1" x14ac:dyDescent="0.3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</row>
    <row r="120" spans="1:14" s="72" customFormat="1" x14ac:dyDescent="0.3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</row>
    <row r="121" spans="1:14" s="72" customFormat="1" x14ac:dyDescent="0.3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</row>
    <row r="122" spans="1:14" s="72" customFormat="1" x14ac:dyDescent="0.3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</row>
    <row r="123" spans="1:14" s="72" customFormat="1" x14ac:dyDescent="0.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</row>
    <row r="124" spans="1:14" s="72" customFormat="1" x14ac:dyDescent="0.3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</row>
    <row r="125" spans="1:14" s="72" customFormat="1" x14ac:dyDescent="0.3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</row>
    <row r="126" spans="1:14" s="72" customFormat="1" x14ac:dyDescent="0.3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</row>
    <row r="127" spans="1:14" s="72" customFormat="1" x14ac:dyDescent="0.3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</row>
    <row r="128" spans="1:14" s="72" customFormat="1" x14ac:dyDescent="0.3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</row>
    <row r="129" spans="1:14" s="72" customFormat="1" x14ac:dyDescent="0.3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</row>
    <row r="130" spans="1:14" s="72" customFormat="1" x14ac:dyDescent="0.3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</row>
    <row r="131" spans="1:14" s="72" customFormat="1" x14ac:dyDescent="0.3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</row>
    <row r="132" spans="1:14" s="72" customFormat="1" x14ac:dyDescent="0.3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</row>
    <row r="133" spans="1:14" s="72" customFormat="1" x14ac:dyDescent="0.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</row>
    <row r="134" spans="1:14" s="72" customFormat="1" x14ac:dyDescent="0.3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</row>
    <row r="135" spans="1:14" s="72" customFormat="1" x14ac:dyDescent="0.3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</row>
    <row r="136" spans="1:14" s="72" customFormat="1" x14ac:dyDescent="0.3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</row>
    <row r="137" spans="1:14" s="72" customFormat="1" x14ac:dyDescent="0.3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</row>
    <row r="138" spans="1:14" s="72" customFormat="1" x14ac:dyDescent="0.3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</row>
    <row r="139" spans="1:14" s="72" customFormat="1" x14ac:dyDescent="0.3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</row>
    <row r="140" spans="1:14" s="72" customFormat="1" x14ac:dyDescent="0.3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</row>
    <row r="141" spans="1:14" s="72" customFormat="1" x14ac:dyDescent="0.3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</row>
    <row r="142" spans="1:14" s="72" customFormat="1" x14ac:dyDescent="0.3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</row>
    <row r="143" spans="1:14" s="72" customFormat="1" x14ac:dyDescent="0.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</row>
    <row r="144" spans="1:14" s="72" customFormat="1" x14ac:dyDescent="0.3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</row>
    <row r="145" spans="1:14" s="72" customFormat="1" x14ac:dyDescent="0.3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</row>
    <row r="146" spans="1:14" s="72" customFormat="1" x14ac:dyDescent="0.3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</row>
    <row r="147" spans="1:14" s="72" customFormat="1" x14ac:dyDescent="0.3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</row>
    <row r="148" spans="1:14" s="72" customFormat="1" x14ac:dyDescent="0.3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</row>
    <row r="149" spans="1:14" s="72" customFormat="1" x14ac:dyDescent="0.3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</row>
    <row r="150" spans="1:14" s="72" customFormat="1" x14ac:dyDescent="0.3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</row>
    <row r="151" spans="1:14" s="72" customFormat="1" x14ac:dyDescent="0.3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</row>
    <row r="152" spans="1:14" s="72" customFormat="1" x14ac:dyDescent="0.3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</row>
    <row r="153" spans="1:14" s="72" customFormat="1" x14ac:dyDescent="0.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</row>
    <row r="154" spans="1:14" s="72" customFormat="1" x14ac:dyDescent="0.3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</row>
    <row r="155" spans="1:14" s="72" customFormat="1" x14ac:dyDescent="0.3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</row>
    <row r="156" spans="1:14" s="72" customFormat="1" x14ac:dyDescent="0.3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</row>
    <row r="157" spans="1:14" s="72" customFormat="1" x14ac:dyDescent="0.3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</row>
    <row r="158" spans="1:14" s="72" customFormat="1" x14ac:dyDescent="0.3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</row>
    <row r="159" spans="1:14" s="72" customFormat="1" x14ac:dyDescent="0.3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</row>
    <row r="160" spans="1:14" s="72" customFormat="1" x14ac:dyDescent="0.3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</row>
    <row r="161" spans="1:14" s="72" customFormat="1" x14ac:dyDescent="0.3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</row>
    <row r="162" spans="1:14" s="72" customFormat="1" x14ac:dyDescent="0.3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</row>
    <row r="163" spans="1:14" s="72" customFormat="1" x14ac:dyDescent="0.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</row>
    <row r="164" spans="1:14" s="72" customFormat="1" x14ac:dyDescent="0.3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</row>
    <row r="165" spans="1:14" s="72" customFormat="1" x14ac:dyDescent="0.3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</row>
    <row r="166" spans="1:14" s="72" customFormat="1" x14ac:dyDescent="0.3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</row>
    <row r="167" spans="1:14" s="72" customFormat="1" x14ac:dyDescent="0.3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</row>
    <row r="168" spans="1:14" s="72" customFormat="1" x14ac:dyDescent="0.3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</row>
    <row r="169" spans="1:14" s="72" customFormat="1" x14ac:dyDescent="0.3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</row>
    <row r="170" spans="1:14" s="72" customFormat="1" x14ac:dyDescent="0.3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</row>
    <row r="171" spans="1:14" s="72" customFormat="1" x14ac:dyDescent="0.3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</row>
    <row r="172" spans="1:14" s="72" customFormat="1" x14ac:dyDescent="0.3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</row>
    <row r="173" spans="1:14" s="72" customFormat="1" x14ac:dyDescent="0.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</row>
    <row r="174" spans="1:14" s="72" customFormat="1" x14ac:dyDescent="0.3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</row>
    <row r="175" spans="1:14" s="72" customFormat="1" x14ac:dyDescent="0.3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</row>
    <row r="176" spans="1:14" s="72" customFormat="1" x14ac:dyDescent="0.3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</row>
    <row r="177" spans="1:14" s="72" customFormat="1" x14ac:dyDescent="0.3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</row>
    <row r="178" spans="1:14" s="72" customFormat="1" x14ac:dyDescent="0.3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</row>
    <row r="179" spans="1:14" s="72" customFormat="1" x14ac:dyDescent="0.3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</row>
    <row r="180" spans="1:14" s="72" customFormat="1" x14ac:dyDescent="0.3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</row>
    <row r="181" spans="1:14" s="72" customFormat="1" x14ac:dyDescent="0.3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</row>
    <row r="182" spans="1:14" s="72" customFormat="1" x14ac:dyDescent="0.3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</row>
    <row r="183" spans="1:14" s="72" customFormat="1" x14ac:dyDescent="0.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</row>
    <row r="184" spans="1:14" s="72" customFormat="1" x14ac:dyDescent="0.3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</row>
    <row r="185" spans="1:14" s="72" customFormat="1" x14ac:dyDescent="0.3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</row>
    <row r="186" spans="1:14" s="72" customFormat="1" x14ac:dyDescent="0.3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</row>
    <row r="187" spans="1:14" s="72" customFormat="1" x14ac:dyDescent="0.3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</row>
    <row r="188" spans="1:14" s="72" customFormat="1" x14ac:dyDescent="0.3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</row>
    <row r="189" spans="1:14" s="72" customFormat="1" x14ac:dyDescent="0.3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</row>
    <row r="190" spans="1:14" s="72" customFormat="1" x14ac:dyDescent="0.3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</row>
    <row r="191" spans="1:14" s="72" customFormat="1" x14ac:dyDescent="0.3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</row>
    <row r="192" spans="1:14" s="72" customFormat="1" x14ac:dyDescent="0.3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</row>
    <row r="193" spans="1:14" s="72" customFormat="1" x14ac:dyDescent="0.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</row>
    <row r="194" spans="1:14" s="72" customFormat="1" x14ac:dyDescent="0.3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</row>
    <row r="195" spans="1:14" s="72" customFormat="1" x14ac:dyDescent="0.3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</row>
    <row r="196" spans="1:14" s="72" customFormat="1" x14ac:dyDescent="0.3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</row>
    <row r="197" spans="1:14" s="72" customFormat="1" x14ac:dyDescent="0.3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</row>
    <row r="198" spans="1:14" s="72" customFormat="1" x14ac:dyDescent="0.3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</row>
    <row r="199" spans="1:14" s="72" customFormat="1" x14ac:dyDescent="0.3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</row>
    <row r="200" spans="1:14" s="72" customFormat="1" x14ac:dyDescent="0.3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</row>
    <row r="201" spans="1:14" s="72" customFormat="1" x14ac:dyDescent="0.3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</row>
    <row r="202" spans="1:14" s="72" customFormat="1" x14ac:dyDescent="0.3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</row>
    <row r="203" spans="1:14" s="72" customFormat="1" x14ac:dyDescent="0.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</row>
    <row r="204" spans="1:14" s="72" customFormat="1" x14ac:dyDescent="0.3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</row>
    <row r="205" spans="1:14" s="72" customFormat="1" x14ac:dyDescent="0.3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</row>
    <row r="206" spans="1:14" s="72" customFormat="1" x14ac:dyDescent="0.3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</row>
    <row r="207" spans="1:14" s="72" customFormat="1" x14ac:dyDescent="0.3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</row>
    <row r="208" spans="1:14" s="72" customFormat="1" x14ac:dyDescent="0.3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</row>
    <row r="209" spans="1:14" s="72" customFormat="1" x14ac:dyDescent="0.3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</row>
    <row r="210" spans="1:14" s="72" customFormat="1" x14ac:dyDescent="0.3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</row>
    <row r="211" spans="1:14" s="72" customFormat="1" x14ac:dyDescent="0.3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</row>
    <row r="212" spans="1:14" s="72" customFormat="1" x14ac:dyDescent="0.3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</row>
    <row r="213" spans="1:14" s="72" customFormat="1" x14ac:dyDescent="0.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</row>
    <row r="214" spans="1:14" s="72" customFormat="1" x14ac:dyDescent="0.3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</row>
    <row r="215" spans="1:14" s="72" customFormat="1" x14ac:dyDescent="0.3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</row>
    <row r="216" spans="1:14" s="72" customFormat="1" x14ac:dyDescent="0.3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</row>
    <row r="217" spans="1:14" s="72" customFormat="1" x14ac:dyDescent="0.3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</row>
    <row r="218" spans="1:14" s="72" customFormat="1" x14ac:dyDescent="0.3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</row>
    <row r="219" spans="1:14" s="72" customFormat="1" x14ac:dyDescent="0.3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</row>
    <row r="220" spans="1:14" s="72" customFormat="1" x14ac:dyDescent="0.3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</row>
    <row r="221" spans="1:14" s="72" customFormat="1" x14ac:dyDescent="0.3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</row>
    <row r="222" spans="1:14" s="72" customFormat="1" x14ac:dyDescent="0.3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</row>
    <row r="223" spans="1:14" s="72" customFormat="1" x14ac:dyDescent="0.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</row>
    <row r="224" spans="1:14" s="72" customFormat="1" x14ac:dyDescent="0.3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</row>
    <row r="225" spans="1:14" s="72" customFormat="1" x14ac:dyDescent="0.3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</row>
    <row r="226" spans="1:14" s="72" customFormat="1" x14ac:dyDescent="0.3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</row>
    <row r="227" spans="1:14" s="72" customFormat="1" x14ac:dyDescent="0.3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</row>
    <row r="228" spans="1:14" s="72" customFormat="1" x14ac:dyDescent="0.3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</row>
    <row r="229" spans="1:14" s="72" customFormat="1" x14ac:dyDescent="0.3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</row>
    <row r="230" spans="1:14" s="72" customFormat="1" x14ac:dyDescent="0.3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</row>
    <row r="231" spans="1:14" s="72" customFormat="1" x14ac:dyDescent="0.3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</row>
    <row r="232" spans="1:14" s="72" customFormat="1" x14ac:dyDescent="0.3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</row>
    <row r="233" spans="1:14" s="72" customFormat="1" x14ac:dyDescent="0.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</row>
    <row r="234" spans="1:14" s="72" customFormat="1" x14ac:dyDescent="0.3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</row>
    <row r="235" spans="1:14" s="72" customFormat="1" x14ac:dyDescent="0.3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</row>
    <row r="236" spans="1:14" s="72" customFormat="1" x14ac:dyDescent="0.3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</row>
    <row r="237" spans="1:14" s="72" customFormat="1" x14ac:dyDescent="0.3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</row>
    <row r="238" spans="1:14" s="72" customFormat="1" x14ac:dyDescent="0.3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</row>
    <row r="239" spans="1:14" s="72" customFormat="1" x14ac:dyDescent="0.3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</row>
    <row r="240" spans="1:14" s="72" customFormat="1" x14ac:dyDescent="0.3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</row>
    <row r="241" spans="1:14" s="72" customFormat="1" x14ac:dyDescent="0.3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</row>
    <row r="242" spans="1:14" s="72" customFormat="1" x14ac:dyDescent="0.3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</row>
    <row r="243" spans="1:14" s="72" customFormat="1" x14ac:dyDescent="0.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</row>
    <row r="244" spans="1:14" s="72" customFormat="1" x14ac:dyDescent="0.3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</row>
    <row r="245" spans="1:14" s="72" customFormat="1" x14ac:dyDescent="0.3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</row>
    <row r="246" spans="1:14" s="72" customFormat="1" x14ac:dyDescent="0.3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</row>
    <row r="247" spans="1:14" s="72" customFormat="1" x14ac:dyDescent="0.3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</row>
    <row r="248" spans="1:14" s="72" customFormat="1" x14ac:dyDescent="0.3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</row>
    <row r="249" spans="1:14" s="72" customFormat="1" x14ac:dyDescent="0.3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</row>
    <row r="250" spans="1:14" s="72" customFormat="1" x14ac:dyDescent="0.3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</row>
    <row r="251" spans="1:14" s="72" customFormat="1" x14ac:dyDescent="0.3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</row>
    <row r="252" spans="1:14" s="72" customFormat="1" x14ac:dyDescent="0.3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</row>
    <row r="253" spans="1:14" s="72" customFormat="1" x14ac:dyDescent="0.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</row>
    <row r="254" spans="1:14" s="72" customFormat="1" x14ac:dyDescent="0.3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</row>
    <row r="255" spans="1:14" s="72" customFormat="1" x14ac:dyDescent="0.3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</row>
    <row r="256" spans="1:14" s="72" customFormat="1" x14ac:dyDescent="0.3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</row>
    <row r="257" spans="1:14" s="72" customFormat="1" x14ac:dyDescent="0.3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</row>
    <row r="258" spans="1:14" s="72" customFormat="1" x14ac:dyDescent="0.3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</row>
    <row r="259" spans="1:14" s="72" customFormat="1" x14ac:dyDescent="0.3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</row>
    <row r="260" spans="1:14" s="72" customFormat="1" x14ac:dyDescent="0.3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</row>
    <row r="261" spans="1:14" s="72" customFormat="1" x14ac:dyDescent="0.3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</row>
    <row r="262" spans="1:14" s="72" customFormat="1" x14ac:dyDescent="0.3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</row>
    <row r="263" spans="1:14" s="72" customFormat="1" x14ac:dyDescent="0.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</row>
    <row r="264" spans="1:14" s="72" customFormat="1" x14ac:dyDescent="0.3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</row>
    <row r="265" spans="1:14" s="72" customFormat="1" x14ac:dyDescent="0.3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</row>
    <row r="266" spans="1:14" s="72" customFormat="1" x14ac:dyDescent="0.3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</row>
    <row r="267" spans="1:14" s="72" customFormat="1" x14ac:dyDescent="0.3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</row>
    <row r="268" spans="1:14" s="72" customFormat="1" x14ac:dyDescent="0.3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</row>
    <row r="269" spans="1:14" s="72" customFormat="1" x14ac:dyDescent="0.3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</row>
    <row r="270" spans="1:14" s="72" customFormat="1" x14ac:dyDescent="0.3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</row>
    <row r="271" spans="1:14" s="72" customFormat="1" x14ac:dyDescent="0.3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</row>
    <row r="272" spans="1:14" s="72" customFormat="1" x14ac:dyDescent="0.3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</row>
    <row r="273" spans="1:14" s="72" customFormat="1" x14ac:dyDescent="0.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</row>
    <row r="274" spans="1:14" s="72" customFormat="1" x14ac:dyDescent="0.3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</row>
    <row r="275" spans="1:14" s="72" customFormat="1" x14ac:dyDescent="0.3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</row>
    <row r="276" spans="1:14" s="72" customFormat="1" x14ac:dyDescent="0.3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</row>
    <row r="277" spans="1:14" s="72" customFormat="1" x14ac:dyDescent="0.3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</row>
    <row r="278" spans="1:14" s="72" customFormat="1" x14ac:dyDescent="0.3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</row>
    <row r="279" spans="1:14" s="72" customFormat="1" x14ac:dyDescent="0.3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</row>
    <row r="280" spans="1:14" s="72" customFormat="1" x14ac:dyDescent="0.3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</row>
    <row r="281" spans="1:14" s="72" customFormat="1" x14ac:dyDescent="0.3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</row>
    <row r="282" spans="1:14" s="72" customFormat="1" x14ac:dyDescent="0.3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</row>
    <row r="283" spans="1:14" s="72" customFormat="1" x14ac:dyDescent="0.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</row>
    <row r="284" spans="1:14" s="72" customFormat="1" x14ac:dyDescent="0.3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</row>
    <row r="285" spans="1:14" s="72" customFormat="1" x14ac:dyDescent="0.3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</row>
    <row r="286" spans="1:14" s="72" customFormat="1" x14ac:dyDescent="0.3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</row>
    <row r="287" spans="1:14" s="72" customFormat="1" x14ac:dyDescent="0.3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</row>
    <row r="288" spans="1:14" s="72" customFormat="1" x14ac:dyDescent="0.3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</row>
    <row r="289" spans="1:14" s="72" customFormat="1" x14ac:dyDescent="0.3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</row>
    <row r="290" spans="1:14" s="72" customFormat="1" x14ac:dyDescent="0.3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</row>
    <row r="291" spans="1:14" s="72" customFormat="1" x14ac:dyDescent="0.3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</row>
    <row r="292" spans="1:14" s="72" customFormat="1" x14ac:dyDescent="0.3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</row>
    <row r="293" spans="1:14" s="72" customFormat="1" x14ac:dyDescent="0.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</row>
    <row r="294" spans="1:14" s="72" customFormat="1" x14ac:dyDescent="0.3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</row>
    <row r="295" spans="1:14" s="72" customFormat="1" x14ac:dyDescent="0.3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</row>
    <row r="296" spans="1:14" s="72" customFormat="1" x14ac:dyDescent="0.3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</row>
    <row r="297" spans="1:14" s="72" customFormat="1" x14ac:dyDescent="0.3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</row>
    <row r="298" spans="1:14" s="72" customFormat="1" x14ac:dyDescent="0.3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</row>
    <row r="299" spans="1:14" s="72" customFormat="1" x14ac:dyDescent="0.3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</row>
    <row r="300" spans="1:14" s="72" customFormat="1" x14ac:dyDescent="0.3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</row>
    <row r="301" spans="1:14" s="72" customFormat="1" x14ac:dyDescent="0.3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</row>
  </sheetData>
  <sheetProtection algorithmName="SHA-512" hashValue="eI0RCj+HyY9uiM4gtefIMkl0zlLL8e1GZWkThh5dFlCzs+en5U2VW9lnOaDf2WulVr47GZCE91bFiLDlWWMosA==" saltValue="kgJYDRJRGJdq0zE87Zkcuw==" spinCount="100000" sheet="1" objects="1" scenarios="1"/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EF7A-CAFA-44F2-82F2-F2A91DC6D8E0}">
  <sheetPr>
    <tabColor rgb="FF9999FF"/>
  </sheetPr>
  <dimension ref="A1:C11"/>
  <sheetViews>
    <sheetView workbookViewId="0">
      <selection activeCell="C3" sqref="C3"/>
    </sheetView>
  </sheetViews>
  <sheetFormatPr defaultRowHeight="14.4" x14ac:dyDescent="0.3"/>
  <cols>
    <col min="1" max="1" width="10.21875" bestFit="1" customWidth="1"/>
    <col min="2" max="2" width="26.6640625" bestFit="1" customWidth="1"/>
    <col min="3" max="3" width="28.21875" bestFit="1" customWidth="1"/>
  </cols>
  <sheetData>
    <row r="1" spans="1:3" x14ac:dyDescent="0.3">
      <c r="A1" s="99" t="s">
        <v>23</v>
      </c>
      <c r="B1" s="99" t="s">
        <v>37</v>
      </c>
      <c r="C1" s="99" t="s">
        <v>38</v>
      </c>
    </row>
    <row r="2" spans="1:3" x14ac:dyDescent="0.3">
      <c r="A2" s="73" t="s">
        <v>70</v>
      </c>
      <c r="B2" s="71">
        <v>65.183692899999997</v>
      </c>
      <c r="C2" s="71">
        <v>-157.55915830000001</v>
      </c>
    </row>
    <row r="3" spans="1:3" x14ac:dyDescent="0.3">
      <c r="A3" s="71" t="s">
        <v>71</v>
      </c>
      <c r="B3" s="71">
        <v>63.40793</v>
      </c>
      <c r="C3" s="71">
        <v>-157.70349999999999</v>
      </c>
    </row>
    <row r="4" spans="1:3" x14ac:dyDescent="0.3">
      <c r="A4" s="71" t="s">
        <v>72</v>
      </c>
      <c r="B4" s="71">
        <v>66.354389999999995</v>
      </c>
      <c r="C4" s="71">
        <v>-149.58879999999999</v>
      </c>
    </row>
    <row r="5" spans="1:3" x14ac:dyDescent="0.3">
      <c r="A5" s="71"/>
      <c r="B5" s="71"/>
      <c r="C5" s="71"/>
    </row>
    <row r="6" spans="1:3" x14ac:dyDescent="0.3">
      <c r="A6" s="71"/>
      <c r="B6" s="71"/>
      <c r="C6" s="71"/>
    </row>
    <row r="7" spans="1:3" x14ac:dyDescent="0.3">
      <c r="A7" s="71"/>
      <c r="B7" s="71"/>
      <c r="C7" s="71"/>
    </row>
    <row r="8" spans="1:3" x14ac:dyDescent="0.3">
      <c r="A8" s="71"/>
      <c r="B8" s="71"/>
      <c r="C8" s="71"/>
    </row>
    <row r="9" spans="1:3" x14ac:dyDescent="0.3">
      <c r="A9" s="71"/>
      <c r="B9" s="71"/>
      <c r="C9" s="71"/>
    </row>
    <row r="10" spans="1:3" x14ac:dyDescent="0.3">
      <c r="A10" s="71"/>
      <c r="B10" s="71"/>
      <c r="C10" s="71"/>
    </row>
    <row r="11" spans="1:3" x14ac:dyDescent="0.3">
      <c r="A11" s="71"/>
      <c r="B11" s="71"/>
      <c r="C11" s="71"/>
    </row>
  </sheetData>
  <sheetProtection algorithmName="SHA-512" hashValue="XwyuJwVPt8GTZJlX60ZNYKNBMXavLbr/rDm3PVvmnyZmFoL25Wi12atC3bdMQvbH4Uuv7ApWjjEzBKBJYChjTw==" saltValue="RJpc/G4HsZKaJYVckrIy8w==" spinCount="100000"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F683-7AD8-46FB-80FB-2FA06138E086}">
  <sheetPr>
    <tabColor rgb="FF9999FF"/>
  </sheetPr>
  <dimension ref="A1:B31"/>
  <sheetViews>
    <sheetView workbookViewId="0">
      <selection activeCell="B5" sqref="B5"/>
    </sheetView>
  </sheetViews>
  <sheetFormatPr defaultRowHeight="14.4" x14ac:dyDescent="0.3"/>
  <cols>
    <col min="1" max="1" width="12.109375" bestFit="1" customWidth="1"/>
    <col min="2" max="2" width="16.88671875" bestFit="1" customWidth="1"/>
  </cols>
  <sheetData>
    <row r="1" spans="1:2" x14ac:dyDescent="0.3">
      <c r="A1" s="99" t="s">
        <v>13</v>
      </c>
      <c r="B1" s="99" t="s">
        <v>50</v>
      </c>
    </row>
    <row r="2" spans="1:2" x14ac:dyDescent="0.3">
      <c r="A2" s="71" t="s">
        <v>76</v>
      </c>
      <c r="B2" s="71">
        <v>150</v>
      </c>
    </row>
    <row r="3" spans="1:2" x14ac:dyDescent="0.3">
      <c r="A3" s="71" t="s">
        <v>77</v>
      </c>
      <c r="B3" s="71">
        <v>200</v>
      </c>
    </row>
    <row r="4" spans="1:2" x14ac:dyDescent="0.3">
      <c r="A4" s="71" t="s">
        <v>78</v>
      </c>
      <c r="B4" s="71">
        <v>130</v>
      </c>
    </row>
    <row r="5" spans="1:2" x14ac:dyDescent="0.3">
      <c r="A5" s="71"/>
      <c r="B5" s="71"/>
    </row>
    <row r="6" spans="1:2" x14ac:dyDescent="0.3">
      <c r="A6" s="71"/>
      <c r="B6" s="71"/>
    </row>
    <row r="7" spans="1:2" x14ac:dyDescent="0.3">
      <c r="A7" s="71"/>
      <c r="B7" s="71"/>
    </row>
    <row r="8" spans="1:2" x14ac:dyDescent="0.3">
      <c r="A8" s="71"/>
      <c r="B8" s="71"/>
    </row>
    <row r="9" spans="1:2" x14ac:dyDescent="0.3">
      <c r="A9" s="71"/>
      <c r="B9" s="71"/>
    </row>
    <row r="10" spans="1:2" x14ac:dyDescent="0.3">
      <c r="A10" s="71"/>
      <c r="B10" s="71"/>
    </row>
    <row r="11" spans="1:2" x14ac:dyDescent="0.3">
      <c r="A11" s="71"/>
      <c r="B11" s="71"/>
    </row>
    <row r="12" spans="1:2" x14ac:dyDescent="0.3">
      <c r="A12" s="71"/>
      <c r="B12" s="71"/>
    </row>
    <row r="13" spans="1:2" x14ac:dyDescent="0.3">
      <c r="A13" s="71"/>
      <c r="B13" s="71"/>
    </row>
    <row r="14" spans="1:2" x14ac:dyDescent="0.3">
      <c r="A14" s="71"/>
      <c r="B14" s="71"/>
    </row>
    <row r="15" spans="1:2" x14ac:dyDescent="0.3">
      <c r="A15" s="71"/>
      <c r="B15" s="71"/>
    </row>
    <row r="16" spans="1:2" x14ac:dyDescent="0.3">
      <c r="A16" s="71"/>
      <c r="B16" s="71"/>
    </row>
    <row r="17" spans="1:2" x14ac:dyDescent="0.3">
      <c r="A17" s="71"/>
      <c r="B17" s="71"/>
    </row>
    <row r="18" spans="1:2" x14ac:dyDescent="0.3">
      <c r="A18" s="71"/>
      <c r="B18" s="71"/>
    </row>
    <row r="19" spans="1:2" x14ac:dyDescent="0.3">
      <c r="A19" s="71"/>
      <c r="B19" s="71"/>
    </row>
    <row r="20" spans="1:2" x14ac:dyDescent="0.3">
      <c r="A20" s="71"/>
      <c r="B20" s="71"/>
    </row>
    <row r="21" spans="1:2" x14ac:dyDescent="0.3">
      <c r="A21" s="71"/>
      <c r="B21" s="71"/>
    </row>
    <row r="22" spans="1:2" x14ac:dyDescent="0.3">
      <c r="A22" s="71"/>
      <c r="B22" s="71"/>
    </row>
    <row r="23" spans="1:2" x14ac:dyDescent="0.3">
      <c r="A23" s="71"/>
      <c r="B23" s="71"/>
    </row>
    <row r="24" spans="1:2" x14ac:dyDescent="0.3">
      <c r="A24" s="71"/>
      <c r="B24" s="71"/>
    </row>
    <row r="25" spans="1:2" x14ac:dyDescent="0.3">
      <c r="A25" s="71"/>
      <c r="B25" s="71"/>
    </row>
    <row r="26" spans="1:2" x14ac:dyDescent="0.3">
      <c r="A26" s="71"/>
      <c r="B26" s="71"/>
    </row>
    <row r="27" spans="1:2" x14ac:dyDescent="0.3">
      <c r="A27" s="71"/>
      <c r="B27" s="71"/>
    </row>
    <row r="28" spans="1:2" x14ac:dyDescent="0.3">
      <c r="A28" s="71"/>
      <c r="B28" s="71"/>
    </row>
    <row r="29" spans="1:2" x14ac:dyDescent="0.3">
      <c r="A29" s="71"/>
      <c r="B29" s="71"/>
    </row>
    <row r="30" spans="1:2" x14ac:dyDescent="0.3">
      <c r="A30" s="71"/>
      <c r="B30" s="71"/>
    </row>
    <row r="31" spans="1:2" x14ac:dyDescent="0.3">
      <c r="A31" s="71"/>
      <c r="B31" s="71"/>
    </row>
  </sheetData>
  <sheetProtection algorithmName="SHA-512" hashValue="HBK23fx69nYic4yAR7UIg6Qp+sxzn895U1bwsjE11VkTURaBS7vWvrnsIJXgrSmkBi8rZB3GNnBhFuqAP5euXA==" saltValue="dpGl1HpZJLgV2rTWj7M2r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1F5B-C022-4E88-BB36-9916725D3BEE}">
  <sheetPr>
    <tabColor rgb="FF9999FF"/>
  </sheetPr>
  <dimension ref="A1:B31"/>
  <sheetViews>
    <sheetView workbookViewId="0">
      <selection activeCell="B5" sqref="B5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s="99" t="s">
        <v>13</v>
      </c>
      <c r="B1" s="99" t="s">
        <v>50</v>
      </c>
    </row>
    <row r="2" spans="1:2" x14ac:dyDescent="0.3">
      <c r="A2" s="71" t="s">
        <v>79</v>
      </c>
      <c r="B2" s="71">
        <v>200</v>
      </c>
    </row>
    <row r="3" spans="1:2" x14ac:dyDescent="0.3">
      <c r="A3" s="71" t="s">
        <v>80</v>
      </c>
      <c r="B3" s="71">
        <v>250</v>
      </c>
    </row>
    <row r="4" spans="1:2" x14ac:dyDescent="0.3">
      <c r="A4" s="71" t="s">
        <v>81</v>
      </c>
      <c r="B4" s="71">
        <v>100</v>
      </c>
    </row>
    <row r="5" spans="1:2" x14ac:dyDescent="0.3">
      <c r="A5" s="71"/>
      <c r="B5" s="71"/>
    </row>
    <row r="6" spans="1:2" x14ac:dyDescent="0.3">
      <c r="A6" s="71"/>
      <c r="B6" s="71"/>
    </row>
    <row r="7" spans="1:2" x14ac:dyDescent="0.3">
      <c r="A7" s="71"/>
      <c r="B7" s="71"/>
    </row>
    <row r="8" spans="1:2" x14ac:dyDescent="0.3">
      <c r="A8" s="71"/>
      <c r="B8" s="71"/>
    </row>
    <row r="9" spans="1:2" x14ac:dyDescent="0.3">
      <c r="A9" s="71"/>
      <c r="B9" s="71"/>
    </row>
    <row r="10" spans="1:2" x14ac:dyDescent="0.3">
      <c r="A10" s="71"/>
      <c r="B10" s="71"/>
    </row>
    <row r="11" spans="1:2" x14ac:dyDescent="0.3">
      <c r="A11" s="71"/>
      <c r="B11" s="71"/>
    </row>
    <row r="12" spans="1:2" x14ac:dyDescent="0.3">
      <c r="A12" s="71"/>
      <c r="B12" s="71"/>
    </row>
    <row r="13" spans="1:2" x14ac:dyDescent="0.3">
      <c r="A13" s="71"/>
      <c r="B13" s="71"/>
    </row>
    <row r="14" spans="1:2" x14ac:dyDescent="0.3">
      <c r="A14" s="71"/>
      <c r="B14" s="71"/>
    </row>
    <row r="15" spans="1:2" x14ac:dyDescent="0.3">
      <c r="A15" s="71"/>
      <c r="B15" s="71"/>
    </row>
    <row r="16" spans="1:2" x14ac:dyDescent="0.3">
      <c r="A16" s="71"/>
      <c r="B16" s="71"/>
    </row>
    <row r="17" spans="1:2" x14ac:dyDescent="0.3">
      <c r="A17" s="71"/>
      <c r="B17" s="71"/>
    </row>
    <row r="18" spans="1:2" x14ac:dyDescent="0.3">
      <c r="A18" s="71"/>
      <c r="B18" s="71"/>
    </row>
    <row r="19" spans="1:2" x14ac:dyDescent="0.3">
      <c r="A19" s="71"/>
      <c r="B19" s="71"/>
    </row>
    <row r="20" spans="1:2" x14ac:dyDescent="0.3">
      <c r="A20" s="71"/>
      <c r="B20" s="71"/>
    </row>
    <row r="21" spans="1:2" x14ac:dyDescent="0.3">
      <c r="A21" s="71"/>
      <c r="B21" s="71"/>
    </row>
    <row r="22" spans="1:2" x14ac:dyDescent="0.3">
      <c r="A22" s="71"/>
      <c r="B22" s="71"/>
    </row>
    <row r="23" spans="1:2" x14ac:dyDescent="0.3">
      <c r="A23" s="71"/>
      <c r="B23" s="71"/>
    </row>
    <row r="24" spans="1:2" x14ac:dyDescent="0.3">
      <c r="A24" s="71"/>
      <c r="B24" s="71"/>
    </row>
    <row r="25" spans="1:2" x14ac:dyDescent="0.3">
      <c r="A25" s="71"/>
      <c r="B25" s="71"/>
    </row>
    <row r="26" spans="1:2" x14ac:dyDescent="0.3">
      <c r="A26" s="71"/>
      <c r="B26" s="71"/>
    </row>
    <row r="27" spans="1:2" x14ac:dyDescent="0.3">
      <c r="A27" s="71"/>
      <c r="B27" s="71"/>
    </row>
    <row r="28" spans="1:2" x14ac:dyDescent="0.3">
      <c r="A28" s="71"/>
      <c r="B28" s="71"/>
    </row>
    <row r="29" spans="1:2" x14ac:dyDescent="0.3">
      <c r="A29" s="71"/>
      <c r="B29" s="71"/>
    </row>
    <row r="30" spans="1:2" x14ac:dyDescent="0.3">
      <c r="A30" s="71"/>
      <c r="B30" s="71"/>
    </row>
    <row r="31" spans="1:2" x14ac:dyDescent="0.3">
      <c r="A31" s="71"/>
      <c r="B31" s="71"/>
    </row>
  </sheetData>
  <sheetProtection algorithmName="SHA-512" hashValue="HUq81Nwu/sM5OOSc+cuAqywWNQw9cZZVrYegJxpsu7nxzxCltaIRZveY8ZtnVpe6UrIXju6woj60+5O/DCEw6g==" saltValue="Zflr2Grm1CWxqnGKrhQi1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8779-7CCE-4630-9EF2-25E298C6B1E8}">
  <sheetPr>
    <tabColor rgb="FF9999FF"/>
  </sheetPr>
  <dimension ref="A1:G13"/>
  <sheetViews>
    <sheetView workbookViewId="0">
      <selection activeCell="A4" sqref="A4"/>
    </sheetView>
  </sheetViews>
  <sheetFormatPr defaultRowHeight="14.4" x14ac:dyDescent="0.3"/>
  <cols>
    <col min="1" max="1" width="27.5546875" customWidth="1"/>
    <col min="4" max="4" width="8.88671875" style="95"/>
    <col min="7" max="7" width="13.5546875" customWidth="1"/>
  </cols>
  <sheetData>
    <row r="1" spans="1:7" x14ac:dyDescent="0.3">
      <c r="A1" s="1" t="s">
        <v>13</v>
      </c>
      <c r="D1" s="96" t="s">
        <v>29</v>
      </c>
      <c r="G1" s="2" t="s">
        <v>39</v>
      </c>
    </row>
    <row r="2" spans="1:7" x14ac:dyDescent="0.3">
      <c r="A2" s="71" t="s">
        <v>77</v>
      </c>
      <c r="D2" s="96" t="s">
        <v>30</v>
      </c>
      <c r="G2" s="2" t="str" cm="1">
        <f t="array" ref="G2:G8">_xlfn._xlws.SORT(_xlfn.UNIQUE(_xlfn.VSTACK(List_crew_leaders!A2:A31,List_crew_members!A2:A31)))</f>
        <v>cl1</v>
      </c>
    </row>
    <row r="3" spans="1:7" x14ac:dyDescent="0.3">
      <c r="A3" s="71"/>
      <c r="G3" s="2" t="str">
        <v>cl2</v>
      </c>
    </row>
    <row r="4" spans="1:7" x14ac:dyDescent="0.3">
      <c r="A4" s="71"/>
      <c r="G4" s="2" t="str">
        <v>cl3</v>
      </c>
    </row>
    <row r="5" spans="1:7" x14ac:dyDescent="0.3">
      <c r="A5" s="71"/>
      <c r="G5" s="2" t="str">
        <v>cm1</v>
      </c>
    </row>
    <row r="6" spans="1:7" x14ac:dyDescent="0.3">
      <c r="A6" s="71"/>
      <c r="G6" s="2" t="str">
        <v>cm2</v>
      </c>
    </row>
    <row r="7" spans="1:7" x14ac:dyDescent="0.3">
      <c r="A7" s="71"/>
      <c r="G7" s="2" t="str">
        <v>cm3</v>
      </c>
    </row>
    <row r="8" spans="1:7" x14ac:dyDescent="0.3">
      <c r="A8" s="71"/>
      <c r="G8" s="2">
        <v>0</v>
      </c>
    </row>
    <row r="9" spans="1:7" x14ac:dyDescent="0.3">
      <c r="A9" s="71"/>
      <c r="G9" s="2"/>
    </row>
    <row r="10" spans="1:7" x14ac:dyDescent="0.3">
      <c r="A10" s="71"/>
      <c r="G10" s="2"/>
    </row>
    <row r="11" spans="1:7" x14ac:dyDescent="0.3">
      <c r="A11" s="71"/>
      <c r="G11" s="2"/>
    </row>
    <row r="12" spans="1:7" x14ac:dyDescent="0.3">
      <c r="G12" s="2"/>
    </row>
    <row r="13" spans="1:7" x14ac:dyDescent="0.3">
      <c r="G13" s="2"/>
    </row>
  </sheetData>
  <sheetProtection algorithmName="SHA-512" hashValue="YROf0GUZyEy5KQdRyV7CNUUTwiOThNrq+vr/W5N1wo+tbqUBsU4UFu3rT4LqDI1wgqRDA9dJ/xHQXTl3hLE2Ag==" saltValue="wVSnNbXkryzpNw/D+mO8IA==" spinCount="100000" sheet="1" objects="1" scenarios="1"/>
  <dataValidations count="1">
    <dataValidation type="list" allowBlank="1" showInputMessage="1" showErrorMessage="1" sqref="A2:A11" xr:uid="{0B8B46E4-15A1-47FA-AC88-0CBCA1D3E025}">
      <formula1>_xlfn.ANCHORARRAY($G$2)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B1C7-BFC5-4118-B6EC-34BC2F41AF57}">
  <sheetPr>
    <tabColor rgb="FF9999FF"/>
  </sheetPr>
  <dimension ref="A1:B11"/>
  <sheetViews>
    <sheetView workbookViewId="0">
      <selection activeCell="B5" sqref="B5"/>
    </sheetView>
  </sheetViews>
  <sheetFormatPr defaultRowHeight="14.4" x14ac:dyDescent="0.3"/>
  <cols>
    <col min="2" max="2" width="16.88671875" bestFit="1" customWidth="1"/>
  </cols>
  <sheetData>
    <row r="1" spans="1:2" x14ac:dyDescent="0.3">
      <c r="A1" s="99" t="s">
        <v>13</v>
      </c>
      <c r="B1" s="99" t="s">
        <v>50</v>
      </c>
    </row>
    <row r="2" spans="1:2" x14ac:dyDescent="0.3">
      <c r="A2" s="71" t="s">
        <v>73</v>
      </c>
      <c r="B2" s="71">
        <v>300</v>
      </c>
    </row>
    <row r="3" spans="1:2" x14ac:dyDescent="0.3">
      <c r="A3" s="71" t="s">
        <v>74</v>
      </c>
      <c r="B3" s="71">
        <v>200</v>
      </c>
    </row>
    <row r="4" spans="1:2" x14ac:dyDescent="0.3">
      <c r="A4" s="71" t="s">
        <v>75</v>
      </c>
      <c r="B4" s="71">
        <v>100</v>
      </c>
    </row>
    <row r="5" spans="1:2" x14ac:dyDescent="0.3">
      <c r="A5" s="71"/>
      <c r="B5" s="71"/>
    </row>
    <row r="6" spans="1:2" x14ac:dyDescent="0.3">
      <c r="A6" s="71"/>
      <c r="B6" s="71"/>
    </row>
    <row r="7" spans="1:2" x14ac:dyDescent="0.3">
      <c r="A7" s="71"/>
      <c r="B7" s="71"/>
    </row>
    <row r="8" spans="1:2" x14ac:dyDescent="0.3">
      <c r="A8" s="71"/>
      <c r="B8" s="71"/>
    </row>
    <row r="9" spans="1:2" x14ac:dyDescent="0.3">
      <c r="A9" s="71"/>
      <c r="B9" s="71"/>
    </row>
    <row r="10" spans="1:2" x14ac:dyDescent="0.3">
      <c r="A10" s="71"/>
      <c r="B10" s="71"/>
    </row>
    <row r="11" spans="1:2" x14ac:dyDescent="0.3">
      <c r="A11" s="71"/>
      <c r="B11" s="71"/>
    </row>
  </sheetData>
  <sheetProtection algorithmName="SHA-512" hashValue="n84HM2ybscEOv1UncaT10nCSFZUYyW9Ja6ygL1fr9tM/hjUVug5GkfQlINDJLSROib32Blac37V+FboCXcDO9w==" saltValue="+QH5fa2gH9XZ23yu5YeBdA==" spinCount="100000" sheet="1" objects="1" scenario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59BF-96C8-4452-A2E4-3D0182841985}">
  <sheetPr>
    <tabColor rgb="FF9999FF"/>
  </sheetPr>
  <dimension ref="A1:J41"/>
  <sheetViews>
    <sheetView workbookViewId="0">
      <selection activeCell="A24" sqref="A24"/>
    </sheetView>
  </sheetViews>
  <sheetFormatPr defaultRowHeight="14.4" x14ac:dyDescent="0.3"/>
  <cols>
    <col min="1" max="1" width="19.44140625" bestFit="1" customWidth="1"/>
    <col min="2" max="2" width="23.44140625" customWidth="1"/>
    <col min="3" max="3" width="16.88671875" bestFit="1" customWidth="1"/>
    <col min="9" max="9" width="20.5546875" bestFit="1" customWidth="1"/>
  </cols>
  <sheetData>
    <row r="1" spans="1:10" x14ac:dyDescent="0.3">
      <c r="A1" s="99" t="s">
        <v>13</v>
      </c>
      <c r="B1" s="99" t="s">
        <v>28</v>
      </c>
      <c r="C1" s="99" t="s">
        <v>50</v>
      </c>
      <c r="I1" s="98" t="s">
        <v>56</v>
      </c>
      <c r="J1" s="98" t="s">
        <v>28</v>
      </c>
    </row>
    <row r="2" spans="1:10" x14ac:dyDescent="0.3">
      <c r="A2" s="71" t="s">
        <v>51</v>
      </c>
      <c r="B2" s="1" t="str">
        <f>_xlfn.XLOOKUP(A2,$I$2:$I$8,$J$2:$J$8,"")</f>
        <v>One per team</v>
      </c>
      <c r="C2" s="71">
        <v>20</v>
      </c>
      <c r="I2" s="97" t="s">
        <v>58</v>
      </c>
      <c r="J2" s="95" t="s">
        <v>59</v>
      </c>
    </row>
    <row r="3" spans="1:10" x14ac:dyDescent="0.3">
      <c r="A3" s="71" t="s">
        <v>55</v>
      </c>
      <c r="B3" s="1" t="str">
        <f>_xlfn.XLOOKUP(A3,$I$2:$I$8,$J$2:$J$8,"")</f>
        <v>One per person</v>
      </c>
      <c r="C3" s="71">
        <v>60</v>
      </c>
      <c r="I3" s="97" t="s">
        <v>51</v>
      </c>
      <c r="J3" s="95" t="s">
        <v>59</v>
      </c>
    </row>
    <row r="4" spans="1:10" x14ac:dyDescent="0.3">
      <c r="A4" s="71"/>
      <c r="B4" s="1" t="str">
        <f t="shared" ref="B4:B41" si="0">_xlfn.XLOOKUP(A4,$I$2:$I$8,$J$2:$J$8,"")</f>
        <v/>
      </c>
      <c r="C4" s="71"/>
      <c r="I4" s="97" t="s">
        <v>52</v>
      </c>
      <c r="J4" s="95" t="s">
        <v>59</v>
      </c>
    </row>
    <row r="5" spans="1:10" x14ac:dyDescent="0.3">
      <c r="A5" s="71"/>
      <c r="B5" s="1" t="str">
        <f t="shared" si="0"/>
        <v/>
      </c>
      <c r="C5" s="71"/>
      <c r="I5" s="97" t="s">
        <v>53</v>
      </c>
      <c r="J5" s="95" t="s">
        <v>59</v>
      </c>
    </row>
    <row r="6" spans="1:10" x14ac:dyDescent="0.3">
      <c r="A6" s="71"/>
      <c r="B6" s="1" t="str">
        <f t="shared" si="0"/>
        <v/>
      </c>
      <c r="C6" s="71"/>
      <c r="I6" s="97" t="s">
        <v>54</v>
      </c>
      <c r="J6" s="95" t="s">
        <v>59</v>
      </c>
    </row>
    <row r="7" spans="1:10" x14ac:dyDescent="0.3">
      <c r="A7" s="71"/>
      <c r="B7" s="1" t="str">
        <f t="shared" si="0"/>
        <v/>
      </c>
      <c r="C7" s="71"/>
      <c r="I7" s="97" t="s">
        <v>55</v>
      </c>
      <c r="J7" s="95" t="s">
        <v>60</v>
      </c>
    </row>
    <row r="8" spans="1:10" x14ac:dyDescent="0.3">
      <c r="A8" s="71"/>
      <c r="B8" s="1" t="str">
        <f t="shared" si="0"/>
        <v/>
      </c>
      <c r="C8" s="71"/>
      <c r="I8" s="97" t="s">
        <v>57</v>
      </c>
      <c r="J8" s="95" t="s">
        <v>60</v>
      </c>
    </row>
    <row r="9" spans="1:10" x14ac:dyDescent="0.3">
      <c r="A9" s="71"/>
      <c r="B9" s="1" t="str">
        <f t="shared" si="0"/>
        <v/>
      </c>
      <c r="C9" s="71"/>
    </row>
    <row r="10" spans="1:10" x14ac:dyDescent="0.3">
      <c r="A10" s="71"/>
      <c r="B10" s="1" t="str">
        <f t="shared" si="0"/>
        <v/>
      </c>
      <c r="C10" s="71"/>
    </row>
    <row r="11" spans="1:10" x14ac:dyDescent="0.3">
      <c r="A11" s="71"/>
      <c r="B11" s="1" t="str">
        <f t="shared" si="0"/>
        <v/>
      </c>
      <c r="C11" s="71"/>
    </row>
    <row r="12" spans="1:10" x14ac:dyDescent="0.3">
      <c r="A12" s="71"/>
      <c r="B12" s="1" t="str">
        <f t="shared" si="0"/>
        <v/>
      </c>
      <c r="C12" s="71"/>
    </row>
    <row r="13" spans="1:10" x14ac:dyDescent="0.3">
      <c r="A13" s="71"/>
      <c r="B13" s="1" t="str">
        <f t="shared" si="0"/>
        <v/>
      </c>
      <c r="C13" s="71"/>
    </row>
    <row r="14" spans="1:10" x14ac:dyDescent="0.3">
      <c r="A14" s="71"/>
      <c r="B14" s="1" t="str">
        <f t="shared" si="0"/>
        <v/>
      </c>
      <c r="C14" s="71"/>
    </row>
    <row r="15" spans="1:10" x14ac:dyDescent="0.3">
      <c r="A15" s="71"/>
      <c r="B15" s="1" t="str">
        <f t="shared" si="0"/>
        <v/>
      </c>
      <c r="C15" s="71"/>
    </row>
    <row r="16" spans="1:10" x14ac:dyDescent="0.3">
      <c r="A16" s="71"/>
      <c r="B16" s="1" t="str">
        <f t="shared" si="0"/>
        <v/>
      </c>
      <c r="C16" s="71"/>
    </row>
    <row r="17" spans="1:3" x14ac:dyDescent="0.3">
      <c r="A17" s="71"/>
      <c r="B17" s="1" t="str">
        <f t="shared" si="0"/>
        <v/>
      </c>
      <c r="C17" s="71"/>
    </row>
    <row r="18" spans="1:3" x14ac:dyDescent="0.3">
      <c r="A18" s="71"/>
      <c r="B18" s="1" t="str">
        <f t="shared" si="0"/>
        <v/>
      </c>
      <c r="C18" s="71"/>
    </row>
    <row r="19" spans="1:3" x14ac:dyDescent="0.3">
      <c r="A19" s="71"/>
      <c r="B19" s="1" t="str">
        <f t="shared" si="0"/>
        <v/>
      </c>
      <c r="C19" s="71"/>
    </row>
    <row r="20" spans="1:3" x14ac:dyDescent="0.3">
      <c r="A20" s="71"/>
      <c r="B20" s="1" t="str">
        <f t="shared" si="0"/>
        <v/>
      </c>
      <c r="C20" s="71"/>
    </row>
    <row r="21" spans="1:3" x14ac:dyDescent="0.3">
      <c r="A21" s="71"/>
      <c r="B21" s="1" t="str">
        <f t="shared" si="0"/>
        <v/>
      </c>
      <c r="C21" s="71"/>
    </row>
    <row r="22" spans="1:3" x14ac:dyDescent="0.3">
      <c r="A22" s="71"/>
      <c r="B22" s="1" t="str">
        <f t="shared" si="0"/>
        <v/>
      </c>
      <c r="C22" s="71"/>
    </row>
    <row r="23" spans="1:3" x14ac:dyDescent="0.3">
      <c r="A23" s="71"/>
      <c r="B23" s="1" t="str">
        <f t="shared" si="0"/>
        <v/>
      </c>
      <c r="C23" s="71"/>
    </row>
    <row r="24" spans="1:3" x14ac:dyDescent="0.3">
      <c r="A24" s="71"/>
      <c r="B24" s="1" t="str">
        <f t="shared" si="0"/>
        <v/>
      </c>
      <c r="C24" s="71"/>
    </row>
    <row r="25" spans="1:3" x14ac:dyDescent="0.3">
      <c r="A25" s="71"/>
      <c r="B25" s="1" t="str">
        <f t="shared" si="0"/>
        <v/>
      </c>
      <c r="C25" s="71"/>
    </row>
    <row r="26" spans="1:3" x14ac:dyDescent="0.3">
      <c r="A26" s="71"/>
      <c r="B26" s="1" t="str">
        <f t="shared" si="0"/>
        <v/>
      </c>
      <c r="C26" s="71"/>
    </row>
    <row r="27" spans="1:3" x14ac:dyDescent="0.3">
      <c r="A27" s="71"/>
      <c r="B27" s="1" t="str">
        <f t="shared" si="0"/>
        <v/>
      </c>
      <c r="C27" s="71"/>
    </row>
    <row r="28" spans="1:3" x14ac:dyDescent="0.3">
      <c r="A28" s="71"/>
      <c r="B28" s="1" t="str">
        <f t="shared" si="0"/>
        <v/>
      </c>
      <c r="C28" s="71"/>
    </row>
    <row r="29" spans="1:3" x14ac:dyDescent="0.3">
      <c r="A29" s="71"/>
      <c r="B29" s="1" t="str">
        <f t="shared" si="0"/>
        <v/>
      </c>
      <c r="C29" s="71"/>
    </row>
    <row r="30" spans="1:3" x14ac:dyDescent="0.3">
      <c r="A30" s="71"/>
      <c r="B30" s="1" t="str">
        <f t="shared" si="0"/>
        <v/>
      </c>
      <c r="C30" s="71"/>
    </row>
    <row r="31" spans="1:3" x14ac:dyDescent="0.3">
      <c r="A31" s="71"/>
      <c r="B31" s="1" t="str">
        <f t="shared" si="0"/>
        <v/>
      </c>
      <c r="C31" s="71"/>
    </row>
    <row r="32" spans="1:3" x14ac:dyDescent="0.3">
      <c r="A32" s="71"/>
      <c r="B32" s="1" t="str">
        <f t="shared" si="0"/>
        <v/>
      </c>
      <c r="C32" s="71"/>
    </row>
    <row r="33" spans="1:3" x14ac:dyDescent="0.3">
      <c r="A33" s="71"/>
      <c r="B33" s="1" t="str">
        <f t="shared" si="0"/>
        <v/>
      </c>
      <c r="C33" s="71"/>
    </row>
    <row r="34" spans="1:3" x14ac:dyDescent="0.3">
      <c r="A34" s="71"/>
      <c r="B34" s="1" t="str">
        <f t="shared" si="0"/>
        <v/>
      </c>
      <c r="C34" s="71"/>
    </row>
    <row r="35" spans="1:3" x14ac:dyDescent="0.3">
      <c r="A35" s="71"/>
      <c r="B35" s="1" t="str">
        <f t="shared" si="0"/>
        <v/>
      </c>
      <c r="C35" s="71"/>
    </row>
    <row r="36" spans="1:3" x14ac:dyDescent="0.3">
      <c r="A36" s="71"/>
      <c r="B36" s="1" t="str">
        <f t="shared" si="0"/>
        <v/>
      </c>
      <c r="C36" s="71"/>
    </row>
    <row r="37" spans="1:3" x14ac:dyDescent="0.3">
      <c r="A37" s="71"/>
      <c r="B37" s="1" t="str">
        <f>_xlfn.XLOOKUP(A37,$I$2:$I$8,$J$2:$J$8,"")</f>
        <v/>
      </c>
      <c r="C37" s="71"/>
    </row>
    <row r="38" spans="1:3" x14ac:dyDescent="0.3">
      <c r="A38" s="71"/>
      <c r="B38" s="1" t="str">
        <f t="shared" si="0"/>
        <v/>
      </c>
      <c r="C38" s="71"/>
    </row>
    <row r="39" spans="1:3" x14ac:dyDescent="0.3">
      <c r="A39" s="71"/>
      <c r="B39" s="1" t="str">
        <f t="shared" si="0"/>
        <v/>
      </c>
      <c r="C39" s="71"/>
    </row>
    <row r="40" spans="1:3" x14ac:dyDescent="0.3">
      <c r="A40" s="71"/>
      <c r="B40" s="1" t="str">
        <f t="shared" si="0"/>
        <v/>
      </c>
      <c r="C40" s="71"/>
    </row>
    <row r="41" spans="1:3" x14ac:dyDescent="0.3">
      <c r="A41" s="71"/>
      <c r="B41" s="1" t="str">
        <f t="shared" si="0"/>
        <v/>
      </c>
      <c r="C41" s="71"/>
    </row>
  </sheetData>
  <sheetProtection algorithmName="SHA-512" hashValue="zb2fYT9r5rTRNOl8DA4vHLGgdC9CSWvFhSqaqmyHOuXSOzRshmo5lFia4GJt9h5nhB7gNqoFUHvTSGiY5YS6eA==" saltValue="Lc4rJacR4mkAvLLBWCy75A==" spinCount="100000" sheet="1" objects="1" scenarios="1"/>
  <dataValidations count="1">
    <dataValidation type="list" allowBlank="1" showInputMessage="1" showErrorMessage="1" sqref="A2:A41" xr:uid="{5ECAB0ED-0B46-4B83-B69D-5F0673F281C1}">
      <formula1>$I$2:$I$8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2792-7A9C-4987-A54C-00199C124E24}">
  <sheetPr>
    <tabColor rgb="FF9999FF"/>
  </sheetPr>
  <dimension ref="A1:B11"/>
  <sheetViews>
    <sheetView workbookViewId="0">
      <selection activeCell="K11" sqref="K11"/>
    </sheetView>
  </sheetViews>
  <sheetFormatPr defaultRowHeight="14.4" x14ac:dyDescent="0.3"/>
  <cols>
    <col min="1" max="1" width="11.21875" bestFit="1" customWidth="1"/>
    <col min="2" max="2" width="13.5546875" bestFit="1" customWidth="1"/>
  </cols>
  <sheetData>
    <row r="1" spans="1:2" x14ac:dyDescent="0.3">
      <c r="A1" s="99" t="s">
        <v>33</v>
      </c>
      <c r="B1" s="99" t="s">
        <v>34</v>
      </c>
    </row>
    <row r="2" spans="1:2" x14ac:dyDescent="0.3">
      <c r="A2" s="71" t="s">
        <v>82</v>
      </c>
      <c r="B2" s="71" t="s">
        <v>84</v>
      </c>
    </row>
    <row r="3" spans="1:2" x14ac:dyDescent="0.3">
      <c r="A3" s="71" t="s">
        <v>83</v>
      </c>
      <c r="B3" s="71">
        <v>9078888888</v>
      </c>
    </row>
    <row r="4" spans="1:2" x14ac:dyDescent="0.3">
      <c r="A4" s="71"/>
      <c r="B4" s="71"/>
    </row>
    <row r="5" spans="1:2" x14ac:dyDescent="0.3">
      <c r="A5" s="71"/>
      <c r="B5" s="71"/>
    </row>
    <row r="6" spans="1:2" x14ac:dyDescent="0.3">
      <c r="A6" s="71"/>
      <c r="B6" s="71"/>
    </row>
    <row r="7" spans="1:2" x14ac:dyDescent="0.3">
      <c r="A7" s="71"/>
      <c r="B7" s="71"/>
    </row>
    <row r="8" spans="1:2" x14ac:dyDescent="0.3">
      <c r="A8" s="71"/>
      <c r="B8" s="71"/>
    </row>
    <row r="9" spans="1:2" x14ac:dyDescent="0.3">
      <c r="A9" s="71"/>
      <c r="B9" s="71"/>
    </row>
    <row r="10" spans="1:2" x14ac:dyDescent="0.3">
      <c r="A10" s="71"/>
      <c r="B10" s="71"/>
    </row>
    <row r="11" spans="1:2" x14ac:dyDescent="0.3">
      <c r="A11" s="71"/>
      <c r="B11" s="71"/>
    </row>
  </sheetData>
  <sheetProtection algorithmName="SHA-512" hashValue="Sqsvo9Xtp+eserYafaS1ndQJVK1IoaXvCOkLt/JWOlYtWUkYC+3facFZwEvIy8FCGB2S3yJ+f1AZQNpbdq2FLg==" saltValue="jenuqHN/i32/hN5ZA0Xf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Flight_inventory</vt:lpstr>
      <vt:lpstr>Daily_schedule</vt:lpstr>
      <vt:lpstr>Manifest</vt:lpstr>
      <vt:lpstr>List_plots</vt:lpstr>
      <vt:lpstr>List_hub</vt:lpstr>
      <vt:lpstr>List_crew_leaders</vt:lpstr>
      <vt:lpstr>List_crew_members</vt:lpstr>
      <vt:lpstr>List_heli_managers</vt:lpstr>
      <vt:lpstr>List_pilots</vt:lpstr>
      <vt:lpstr>List_gears</vt:lpstr>
      <vt:lpstr>List_phones</vt:lpstr>
      <vt:lpstr>Daily_schedule!Print_Titles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Genet, H M J (DNR)</dc:creator>
  <cp:lastModifiedBy>Genet, H M J (DNR)</cp:lastModifiedBy>
  <cp:lastPrinted>2026-04-25T00:51:37Z</cp:lastPrinted>
  <dcterms:created xsi:type="dcterms:W3CDTF">2026-04-20T20:00:20Z</dcterms:created>
  <dcterms:modified xsi:type="dcterms:W3CDTF">2026-05-04T19:43:28Z</dcterms:modified>
</cp:coreProperties>
</file>